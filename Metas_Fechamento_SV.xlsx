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s S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7">
    <numFmt numFmtId="165" formatCode="#,##0.000"/>
    <numFmt numFmtId="166" formatCode="#,##0.000"/>
    <numFmt numFmtId="167" formatCode="0.0"/>
    <numFmt numFmtId="168" formatCode="#,##0.000"/>
    <numFmt numFmtId="169" formatCode="0.0"/>
    <numFmt numFmtId="170" formatCode="#,##0.000"/>
    <numFmt numFmtId="171" formatCode="0.0"/>
  </numFmts>
  <fonts count="27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3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F172A"/>
        <bgColor/>
      </patternFill>
    </fill>
    <fill>
      <patternFill patternType="solid">
        <fgColor rgb="FF0F172A"/>
        <bgColor/>
      </patternFill>
    </fill>
    <fill>
      <patternFill patternType="solid">
        <fgColor rgb="FF14B8A6"/>
        <bgColor/>
      </patternFill>
    </fill>
    <fill>
      <patternFill patternType="solid">
        <fgColor rgb="FF14B8A6"/>
        <bgColor/>
      </patternFill>
    </fill>
    <fill>
      <patternFill patternType="solid">
        <fgColor rgb="FFF97316"/>
        <bgColor/>
      </patternFill>
    </fill>
    <fill>
      <patternFill patternType="solid">
        <fgColor rgb="FFF97316"/>
        <bgColor/>
      </patternFill>
    </fill>
    <fill>
      <patternFill patternType="solid">
        <fgColor rgb="FFF59E0B"/>
        <bgColor/>
      </patternFill>
    </fill>
    <fill>
      <patternFill patternType="solid">
        <fgColor rgb="FFF59E0B"/>
        <bgColor/>
      </patternFill>
    </fill>
    <fill>
      <patternFill patternType="solid">
        <fgColor rgb="FF3B82F6"/>
        <bgColor/>
      </patternFill>
    </fill>
    <fill>
      <patternFill patternType="solid">
        <fgColor rgb="FF3B82F6"/>
        <bgColor/>
      </patternFill>
    </fill>
    <fill>
      <patternFill patternType="solid">
        <fgColor rgb="FFEC4899"/>
        <bgColor/>
      </patternFill>
    </fill>
    <fill>
      <patternFill patternType="solid">
        <fgColor rgb="FF1E293B"/>
        <bgColor/>
      </patternFill>
    </fill>
    <fill>
      <patternFill patternType="solid">
        <fgColor rgb="FF1E293B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FEF9C3"/>
        <bgColor/>
      </patternFill>
    </fill>
    <fill>
      <patternFill patternType="solid">
        <fgColor rgb="FFFEF9C3"/>
        <bgColor/>
      </patternFill>
    </fill>
    <fill>
      <patternFill patternType="solid">
        <fgColor rgb="FFF1F5F9"/>
        <bgColor/>
      </patternFill>
    </fill>
    <fill>
      <patternFill patternType="solid">
        <fgColor rgb="FFFEF9C3"/>
        <bgColor/>
      </patternFill>
    </fill>
    <fill>
      <patternFill patternType="solid">
        <fgColor rgb="FFF1F5F9"/>
        <bgColor/>
      </patternFill>
    </fill>
    <fill>
      <patternFill patternType="solid">
        <fgColor rgb="FFFEF9C3"/>
        <bgColor/>
      </patternFill>
    </fill>
    <fill>
      <patternFill patternType="solid">
        <fgColor rgb="FF334155"/>
        <bgColor/>
      </patternFill>
    </fill>
    <fill>
      <patternFill patternType="solid">
        <fgColor rgb="FF334155"/>
        <bgColor/>
      </patternFill>
    </fill>
    <fill>
      <patternFill patternType="solid">
        <fgColor rgb="FF334155"/>
        <bgColor/>
      </patternFill>
    </fill>
    <fill>
      <patternFill patternType="solid">
        <fgColor rgb="FF334155"/>
        <bgColor/>
      </patternFill>
    </fill>
    <fill>
      <patternFill patternType="solid">
        <fgColor rgb="FF334155"/>
        <bgColor/>
      </patternFill>
    </fill>
    <fill>
      <patternFill patternType="solid">
        <fgColor rgb="FF334155"/>
        <bgColor/>
      </patternFill>
    </fill>
    <fill>
      <patternFill patternType="solid">
        <fgColor rgb="FF0F172A"/>
        <bgColor/>
      </patternFill>
    </fill>
    <fill>
      <patternFill patternType="solid">
        <fgColor rgb="FF0F172A"/>
        <bgColor/>
      </patternFill>
    </fill>
    <fill>
      <patternFill patternType="solid">
        <fgColor rgb="FF0F172A"/>
        <bgColor/>
      </patternFill>
    </fill>
    <fill>
      <patternFill patternType="solid">
        <fgColor rgb="FF0F172A"/>
        <bgColor/>
      </patternFill>
    </fill>
    <fill>
      <patternFill patternType="solid">
        <fgColor rgb="FF0F172A"/>
        <bgColor/>
      </patternFill>
    </fill>
    <fill>
      <patternFill patternType="solid">
        <fgColor rgb="FF0F172A"/>
        <bgColor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475569"/>
      </bottom>
      <diagonal/>
    </border>
    <border>
      <left/>
      <right/>
      <top/>
      <bottom style="thin">
        <color rgb="475569"/>
      </bottom>
      <diagonal/>
    </border>
    <border>
      <left/>
      <right/>
      <top/>
      <bottom style="thin">
        <color rgb="475569"/>
      </bottom>
      <diagonal/>
    </border>
    <border>
      <left/>
      <right/>
      <top/>
      <bottom style="thin">
        <color rgb="475569"/>
      </bottom>
      <diagonal/>
    </border>
    <border>
      <left/>
      <right/>
      <top/>
      <bottom style="thin">
        <color rgb="475569"/>
      </bottom>
      <diagonal/>
    </border>
    <border>
      <left/>
      <right/>
      <top/>
      <bottom style="thin">
        <color rgb="475569"/>
      </bottom>
      <diagonal/>
    </border>
    <border>
      <left/>
      <right/>
      <top/>
      <bottom style="thin">
        <color rgb="475569"/>
      </bottom>
      <diagonal/>
    </border>
    <border>
      <left/>
      <right/>
      <top/>
      <bottom style="thin">
        <color rgb="475569"/>
      </bottom>
      <diagonal/>
    </border>
    <border>
      <left/>
      <right/>
      <top/>
      <bottom style="thin">
        <color rgb="475569"/>
      </bottom>
      <diagonal/>
    </border>
    <border>
      <left/>
      <right/>
      <top/>
      <bottom style="thin">
        <color rgb="475569"/>
      </bottom>
      <diagonal/>
    </border>
    <border>
      <left/>
      <right/>
      <top/>
      <bottom style="thin">
        <color rgb="475569"/>
      </bottom>
      <diagonal/>
    </border>
    <border>
      <left/>
      <right/>
      <top/>
      <bottom style="thin">
        <color rgb="334155"/>
      </bottom>
      <diagonal/>
    </border>
    <border>
      <left/>
      <right/>
      <top/>
      <bottom style="thin">
        <color rgb="334155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 style="thick"/>
      <bottom/>
      <diagonal/>
    </border>
    <border>
      <left/>
      <right/>
      <top style="thick"/>
      <bottom/>
      <diagonal/>
    </border>
    <border>
      <left/>
      <right/>
      <top style="thick"/>
      <bottom/>
      <diagonal/>
    </border>
    <border>
      <left/>
      <right/>
      <top style="thick"/>
      <bottom/>
      <diagonal/>
    </border>
    <border>
      <left/>
      <right/>
      <top style="thick"/>
      <bottom/>
      <diagonal/>
    </border>
    <border>
      <left/>
      <right/>
      <top style="thick"/>
      <bottom/>
      <diagonal/>
    </border>
    <border>
      <left/>
      <right/>
      <top style="thick"/>
      <bottom/>
      <diagonal/>
    </border>
    <border>
      <left/>
      <right/>
      <top style="thick"/>
      <bottom/>
      <diagonal/>
    </border>
    <border>
      <left/>
      <right/>
      <top style="thick"/>
      <bottom/>
      <diagonal/>
    </border>
    <border>
      <left/>
      <right/>
      <top style="thick"/>
      <bottom/>
      <diagonal/>
    </border>
    <border>
      <left/>
      <right/>
      <top style="thick"/>
      <bottom/>
      <diagonal/>
    </border>
    <border>
      <left/>
      <right/>
      <top style="thick"/>
      <bottom/>
      <diagonal/>
    </border>
  </borders>
  <cellStyleXfs>
    <xf numFmtId="0" fontId="0" fillId="0" borderId="0"/>
  </cellStyleXfs>
  <cellXfs count="3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9" fillId="9" borderId="9" xfId="0" applyFont="1" applyFill="1" applyBorder="1" applyAlignment="1">
      <alignment horizontal="center" vertical="center"/>
    </xf>
    <xf numFmtId="0" fontId="10" fillId="10" borderId="10" xfId="0" applyFont="1" applyFill="1" applyBorder="1" applyAlignment="1">
      <alignment horizontal="center" vertical="center"/>
    </xf>
    <xf numFmtId="0" fontId="11" fillId="11" borderId="11" xfId="0" applyFont="1" applyFill="1" applyBorder="1" applyAlignment="1">
      <alignment horizontal="center" vertical="center"/>
    </xf>
    <xf numFmtId="0" fontId="12" fillId="12" borderId="12" xfId="0" applyFont="1" applyFill="1" applyBorder="1" applyAlignment="1">
      <alignment horizontal="center" vertical="center"/>
    </xf>
    <xf numFmtId="0" fontId="13" fillId="13" borderId="13" xfId="0" applyFont="1" applyFill="1" applyBorder="1" applyAlignment="1">
      <alignment horizontal="center" vertical="center"/>
    </xf>
    <xf numFmtId="0" fontId="14" fillId="14" borderId="14" xfId="0" applyFont="1" applyFill="1" applyBorder="1" applyAlignment="1">
      <alignment horizontal="center" vertical="center"/>
    </xf>
    <xf numFmtId="4" fontId="0" fillId="15" borderId="0" xfId="0" applyFill="1" applyNumberFormat="1"/>
    <xf numFmtId="4" fontId="0" fillId="16" borderId="0" xfId="0" applyFill="1" applyNumberFormat="1"/>
    <xf numFmtId="1" fontId="0" fillId="17" borderId="0" xfId="0" applyFill="1" applyNumberFormat="1"/>
    <xf numFmtId="1" fontId="0" fillId="18" borderId="15" xfId="0" applyFill="1" applyBorder="1" applyNumberFormat="1"/>
    <xf numFmtId="4" fontId="0" fillId="19" borderId="16" xfId="0" applyFill="1" applyBorder="1" applyNumberFormat="1"/>
    <xf numFmtId="165" fontId="0" fillId="20" borderId="0" xfId="0" applyFill="1" applyNumberFormat="1"/>
    <xf numFmtId="166" fontId="0" fillId="21" borderId="17" xfId="0" applyFill="1" applyBorder="1" applyNumberFormat="1"/>
    <xf numFmtId="167" fontId="0" fillId="22" borderId="0" xfId="0" applyFill="1" applyNumberFormat="1"/>
    <xf numFmtId="1" fontId="0" fillId="23" borderId="18" xfId="0" applyFill="1" applyBorder="1" applyNumberFormat="1"/>
    <xf numFmtId="0" fontId="15" fillId="24" borderId="19" xfId="0" applyFont="1" applyFill="1" applyBorder="1"/>
    <xf numFmtId="0" fontId="16" fillId="25" borderId="20" xfId="0" applyFont="1" applyFill="1" applyBorder="1"/>
    <xf numFmtId="4" fontId="17" fillId="26" borderId="21" xfId="0" applyFont="1" applyFill="1" applyBorder="1" applyNumberFormat="1"/>
    <xf numFmtId="1" fontId="18" fillId="27" borderId="22" xfId="0" applyFont="1" applyFill="1" applyBorder="1" applyNumberFormat="1"/>
    <xf numFmtId="168" fontId="19" fillId="28" borderId="23" xfId="0" applyFont="1" applyFill="1" applyBorder="1" applyNumberFormat="1"/>
    <xf numFmtId="169" fontId="20" fillId="29" borderId="24" xfId="0" applyFont="1" applyFill="1" applyBorder="1" applyNumberFormat="1"/>
    <xf numFmtId="0" fontId="21" fillId="30" borderId="25" xfId="0" applyFont="1" applyFill="1" applyBorder="1"/>
    <xf numFmtId="0" fontId="22" fillId="31" borderId="26" xfId="0" applyFont="1" applyFill="1" applyBorder="1"/>
    <xf numFmtId="4" fontId="23" fillId="32" borderId="27" xfId="0" applyFont="1" applyFill="1" applyBorder="1" applyNumberFormat="1"/>
    <xf numFmtId="1" fontId="24" fillId="33" borderId="28" xfId="0" applyFont="1" applyFill="1" applyBorder="1" applyNumberFormat="1"/>
    <xf numFmtId="170" fontId="25" fillId="34" borderId="29" xfId="0" applyFont="1" applyFill="1" applyBorder="1" applyNumberFormat="1"/>
    <xf numFmtId="171" fontId="26" fillId="35" borderId="30" xfId="0" applyFont="1" applyFill="1" applyBorder="1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9"/>
  <sheetViews>
    <sheetView workbookViewId="0"/>
  </sheetViews>
  <cols>
    <col min="1" max="1" width="10.83203125" customWidth="1"/>
    <col min="2" max="2" width="20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12.83203125" customWidth="1"/>
    <col min="26" max="26" width="12.83203125" customWidth="1"/>
    <col min="27" max="27" width="12.83203125" customWidth="1"/>
    <col min="28" max="28" width="12.83203125" customWidth="1"/>
    <col min="29" max="29" width="12.83203125" customWidth="1"/>
    <col min="30" max="30" width="12.83203125" customWidth="1"/>
    <col min="31" max="31" width="12.83203125" customWidth="1"/>
    <col min="32" max="32" width="12.83203125" customWidth="1"/>
    <col min="33" max="33" width="12.83203125" customWidth="1"/>
    <col min="34" max="34" width="12.83203125" customWidth="1"/>
    <col min="35" max="35" width="12.83203125" customWidth="1"/>
    <col min="36" max="36" width="12.83203125" customWidth="1"/>
    <col min="37" max="37" width="12.83203125" customWidth="1"/>
    <col min="38" max="38" width="12.83203125" customWidth="1"/>
    <col min="39" max="39" width="12.83203125" customWidth="1"/>
    <col min="40" max="40" width="12.83203125" customWidth="1"/>
    <col min="41" max="41" width="12.83203125" customWidth="1"/>
    <col min="42" max="42" width="12.83203125" customWidth="1"/>
    <col min="43" max="43" width="12.83203125" customWidth="1"/>
    <col min="44" max="44" width="12.83203125" customWidth="1"/>
    <col min="45" max="45" width="12.83203125" customWidth="1"/>
    <col min="46" max="46" width="12.83203125" customWidth="1"/>
    <col min="47" max="47" width="12.83203125" customWidth="1"/>
    <col min="48" max="48" width="12.83203125" customWidth="1"/>
    <col min="49" max="49" width="12.83203125" customWidth="1"/>
    <col min="50" max="50" width="12.83203125" customWidth="1"/>
  </cols>
  <sheetData>
    <row r="1">
      <c r="A1" s="3" t="str">
        <v>CÓD</v>
      </c>
      <c r="B1" s="4" t="str">
        <v>VENDEDOR</v>
      </c>
      <c r="C1" s="5" t="str">
        <v>TOTAL ELMA</v>
      </c>
      <c r="D1" s="6" t="str">
        <v/>
      </c>
      <c r="E1" s="6" t="str">
        <v/>
      </c>
      <c r="F1" s="6" t="str">
        <v/>
      </c>
      <c r="G1" s="4" t="str">
        <v>EXTRUSADOS</v>
      </c>
      <c r="H1" s="4" t="str">
        <v/>
      </c>
      <c r="I1" s="4" t="str">
        <v/>
      </c>
      <c r="J1" s="4" t="str">
        <v/>
      </c>
      <c r="K1" s="4" t="str">
        <v>NÃO EXTRUSADOS</v>
      </c>
      <c r="L1" s="4" t="str">
        <v/>
      </c>
      <c r="M1" s="4" t="str">
        <v/>
      </c>
      <c r="N1" s="4" t="str">
        <v/>
      </c>
      <c r="O1" s="4" t="str">
        <v>TORCIDA</v>
      </c>
      <c r="P1" s="4" t="str">
        <v/>
      </c>
      <c r="Q1" s="4" t="str">
        <v/>
      </c>
      <c r="R1" s="4" t="str">
        <v/>
      </c>
      <c r="S1" s="7" t="str">
        <v>KG ELMA</v>
      </c>
      <c r="T1" s="8" t="str">
        <v/>
      </c>
      <c r="U1" s="8" t="str">
        <v/>
      </c>
      <c r="V1" s="5" t="str">
        <v>MIX SALTY</v>
      </c>
      <c r="W1" s="5" t="str">
        <v/>
      </c>
      <c r="X1" s="5" t="str">
        <v/>
      </c>
      <c r="Y1" s="9" t="str">
        <v>TOTAL FOODS</v>
      </c>
      <c r="Z1" s="10" t="str">
        <v/>
      </c>
      <c r="AA1" s="10" t="str">
        <v/>
      </c>
      <c r="AB1" s="10" t="str">
        <v/>
      </c>
      <c r="AC1" s="4" t="str">
        <v>TODDYNHO</v>
      </c>
      <c r="AD1" s="4" t="str">
        <v/>
      </c>
      <c r="AE1" s="4" t="str">
        <v/>
      </c>
      <c r="AF1" s="4" t="str">
        <v/>
      </c>
      <c r="AG1" s="4" t="str">
        <v>TODDY</v>
      </c>
      <c r="AH1" s="4" t="str">
        <v/>
      </c>
      <c r="AI1" s="4" t="str">
        <v/>
      </c>
      <c r="AJ1" s="4" t="str">
        <v/>
      </c>
      <c r="AK1" s="4" t="str">
        <v>QUAKER / KEROCOCO</v>
      </c>
      <c r="AL1" s="4" t="str">
        <v/>
      </c>
      <c r="AM1" s="4" t="str">
        <v/>
      </c>
      <c r="AN1" s="4" t="str">
        <v/>
      </c>
      <c r="AO1" s="7" t="str">
        <v>KG FOODS</v>
      </c>
      <c r="AP1" s="7" t="str">
        <v/>
      </c>
      <c r="AQ1" s="7" t="str">
        <v/>
      </c>
      <c r="AR1" s="9" t="str">
        <v>MIX FOODS</v>
      </c>
      <c r="AS1" s="9" t="str">
        <v/>
      </c>
      <c r="AT1" s="9" t="str">
        <v/>
      </c>
      <c r="AU1" s="11" t="str">
        <v>GERAL</v>
      </c>
      <c r="AV1" s="12" t="str">
        <v/>
      </c>
      <c r="AW1" s="12" t="str">
        <v/>
      </c>
      <c r="AX1" s="12" t="str">
        <v/>
      </c>
      <c r="AY1" s="13" t="str">
        <v>AUDITORIA PEDEV</v>
      </c>
    </row>
    <row r="2">
      <c r="A2" s="4" t="str">
        <v/>
      </c>
      <c r="B2" s="4" t="str">
        <v/>
      </c>
      <c r="C2" s="14" t="str">
        <v>FATURAMENTO</v>
      </c>
      <c r="D2" s="15" t="str">
        <v/>
      </c>
      <c r="E2" s="15" t="str">
        <v>POSITIVAÇÃO</v>
      </c>
      <c r="F2" s="15" t="str">
        <v/>
      </c>
      <c r="G2" s="15" t="str">
        <v>FATURAMENTO</v>
      </c>
      <c r="H2" s="15" t="str">
        <v/>
      </c>
      <c r="I2" s="15" t="str">
        <v>POSITIVAÇÃO</v>
      </c>
      <c r="J2" s="15" t="str">
        <v/>
      </c>
      <c r="K2" s="15" t="str">
        <v>FATURAMENTO</v>
      </c>
      <c r="L2" s="15" t="str">
        <v/>
      </c>
      <c r="M2" s="15" t="str">
        <v>POSITIVAÇÃO</v>
      </c>
      <c r="N2" s="15" t="str">
        <v/>
      </c>
      <c r="O2" s="15" t="str">
        <v>FATURAMENTO</v>
      </c>
      <c r="P2" s="15" t="str">
        <v/>
      </c>
      <c r="Q2" s="15" t="str">
        <v>POSITIVAÇÃO</v>
      </c>
      <c r="R2" s="15" t="str">
        <v/>
      </c>
      <c r="S2" s="15" t="str">
        <v>MÉDIA TRIM.</v>
      </c>
      <c r="T2" s="15" t="str">
        <v>META KG</v>
      </c>
      <c r="U2" s="15" t="str">
        <v/>
      </c>
      <c r="V2" s="15" t="str">
        <v>MÉDIA TRIM.</v>
      </c>
      <c r="W2" s="15" t="str">
        <v>META MIX</v>
      </c>
      <c r="X2" s="15" t="str">
        <v/>
      </c>
      <c r="Y2" s="15" t="str">
        <v>FATURAMENTO</v>
      </c>
      <c r="Z2" s="15" t="str">
        <v/>
      </c>
      <c r="AA2" s="15" t="str">
        <v>POSITIVAÇÃO</v>
      </c>
      <c r="AB2" s="15" t="str">
        <v/>
      </c>
      <c r="AC2" s="15" t="str">
        <v>FATURAMENTO</v>
      </c>
      <c r="AD2" s="15" t="str">
        <v/>
      </c>
      <c r="AE2" s="15" t="str">
        <v>POSITIVAÇÃO</v>
      </c>
      <c r="AF2" s="15" t="str">
        <v/>
      </c>
      <c r="AG2" s="15" t="str">
        <v>FATURAMENTO</v>
      </c>
      <c r="AH2" s="15" t="str">
        <v/>
      </c>
      <c r="AI2" s="15" t="str">
        <v>POSITIVAÇÃO</v>
      </c>
      <c r="AJ2" s="15" t="str">
        <v/>
      </c>
      <c r="AK2" s="15" t="str">
        <v>FATURAMENTO</v>
      </c>
      <c r="AL2" s="15" t="str">
        <v/>
      </c>
      <c r="AM2" s="15" t="str">
        <v>POSITIVAÇÃO</v>
      </c>
      <c r="AN2" s="15" t="str">
        <v/>
      </c>
      <c r="AO2" s="15" t="str">
        <v>MÉDIA TRIM.</v>
      </c>
      <c r="AP2" s="15" t="str">
        <v>META KG</v>
      </c>
      <c r="AQ2" s="15" t="str">
        <v/>
      </c>
      <c r="AR2" s="15" t="str">
        <v>MÉDIA TRIM.</v>
      </c>
      <c r="AS2" s="15" t="str">
        <v>META MIX</v>
      </c>
      <c r="AT2" s="15" t="str">
        <v/>
      </c>
      <c r="AU2" s="15" t="str">
        <v>FATURAMENTO</v>
      </c>
      <c r="AV2" s="15" t="str">
        <v/>
      </c>
      <c r="AW2" s="15" t="str">
        <v>TONELADA</v>
      </c>
      <c r="AX2" s="15" t="str">
        <v>POSITIVAÇÃO</v>
      </c>
      <c r="AY2" s="15" t="str">
        <v>META</v>
      </c>
    </row>
    <row r="3">
      <c r="A3" s="15" t="str">
        <v/>
      </c>
      <c r="B3" s="15" t="str">
        <v/>
      </c>
      <c r="C3" s="15" t="str">
        <v>Meta</v>
      </c>
      <c r="D3" s="15" t="str">
        <v>Ajuste</v>
      </c>
      <c r="E3" s="15" t="str">
        <v>Meta</v>
      </c>
      <c r="F3" s="15" t="str">
        <v>Ajuste</v>
      </c>
      <c r="G3" s="15" t="str">
        <v>Meta</v>
      </c>
      <c r="H3" s="15" t="str">
        <v>Ajuste</v>
      </c>
      <c r="I3" s="15" t="str">
        <v>Meta</v>
      </c>
      <c r="J3" s="15" t="str">
        <v>Ajuste</v>
      </c>
      <c r="K3" s="15" t="str">
        <v>Meta</v>
      </c>
      <c r="L3" s="15" t="str">
        <v>Ajuste</v>
      </c>
      <c r="M3" s="15" t="str">
        <v>Meta</v>
      </c>
      <c r="N3" s="15" t="str">
        <v>Ajuste</v>
      </c>
      <c r="O3" s="15" t="str">
        <v>Meta</v>
      </c>
      <c r="P3" s="15" t="str">
        <v>Ajuste</v>
      </c>
      <c r="Q3" s="15" t="str">
        <v>Meta</v>
      </c>
      <c r="R3" s="15" t="str">
        <v>Ajuste</v>
      </c>
      <c r="S3" s="15" t="str">
        <v>Volume</v>
      </c>
      <c r="T3" s="15" t="str">
        <v>Volume</v>
      </c>
      <c r="U3" s="15" t="str">
        <v>Ajuste</v>
      </c>
      <c r="V3" s="15" t="str">
        <v>Qtd</v>
      </c>
      <c r="W3" s="15" t="str">
        <v>Meta</v>
      </c>
      <c r="X3" s="15" t="str">
        <v>Ajuste</v>
      </c>
      <c r="Y3" s="15" t="str">
        <v>Meta</v>
      </c>
      <c r="Z3" s="15" t="str">
        <v>Ajuste</v>
      </c>
      <c r="AA3" s="15" t="str">
        <v>Meta</v>
      </c>
      <c r="AB3" s="15" t="str">
        <v>Ajuste</v>
      </c>
      <c r="AC3" s="15" t="str">
        <v>Meta</v>
      </c>
      <c r="AD3" s="15" t="str">
        <v>Ajuste</v>
      </c>
      <c r="AE3" s="15" t="str">
        <v>Meta</v>
      </c>
      <c r="AF3" s="15" t="str">
        <v>Ajuste</v>
      </c>
      <c r="AG3" s="15" t="str">
        <v>Meta</v>
      </c>
      <c r="AH3" s="15" t="str">
        <v>Ajuste</v>
      </c>
      <c r="AI3" s="15" t="str">
        <v>Meta</v>
      </c>
      <c r="AJ3" s="15" t="str">
        <v>Ajuste</v>
      </c>
      <c r="AK3" s="15" t="str">
        <v>Meta</v>
      </c>
      <c r="AL3" s="15" t="str">
        <v>Ajuste</v>
      </c>
      <c r="AM3" s="15" t="str">
        <v>Meta</v>
      </c>
      <c r="AN3" s="15" t="str">
        <v>Ajuste</v>
      </c>
      <c r="AO3" s="15" t="str">
        <v>Volume</v>
      </c>
      <c r="AP3" s="15" t="str">
        <v>Volume</v>
      </c>
      <c r="AQ3" s="15" t="str">
        <v>Ajuste</v>
      </c>
      <c r="AR3" s="15" t="str">
        <v>Qtd</v>
      </c>
      <c r="AS3" s="15" t="str">
        <v>Meta</v>
      </c>
      <c r="AT3" s="15" t="str">
        <v>Ajuste</v>
      </c>
      <c r="AU3" s="15" t="str">
        <v>Média Trim.</v>
      </c>
      <c r="AV3" s="15" t="str">
        <v>Meta</v>
      </c>
      <c r="AW3" s="15" t="str">
        <v>Meta</v>
      </c>
      <c r="AX3" s="15" t="str">
        <v>Meta</v>
      </c>
      <c r="AY3" s="15" t="str">
        <v/>
      </c>
    </row>
    <row r="4">
      <c r="A4" s="2" t="str">
        <v>174</v>
      </c>
      <c r="B4" s="2" t="str">
        <v>UBIRATAN SILVA DE SOUZA</v>
      </c>
      <c r="C4" s="16">
        <v>233021.2387302234</v>
      </c>
      <c r="D4" s="17">
        <f>H4+L4+P4</f>
        <v>233021.2387302234</v>
      </c>
      <c r="E4" s="18">
        <v>42</v>
      </c>
      <c r="F4" s="19">
        <v>42</v>
      </c>
      <c r="G4" s="17">
        <v>89737.27735870486</v>
      </c>
      <c r="H4" s="20">
        <v>89737.27735870486</v>
      </c>
      <c r="I4" s="18">
        <v>42</v>
      </c>
      <c r="J4" s="18">
        <v>42</v>
      </c>
      <c r="K4" s="17">
        <v>140718.61442265008</v>
      </c>
      <c r="L4" s="20">
        <v>140718.61442265008</v>
      </c>
      <c r="M4" s="18">
        <v>42</v>
      </c>
      <c r="N4" s="18">
        <v>42</v>
      </c>
      <c r="O4" s="17">
        <v>2565.3469488684827</v>
      </c>
      <c r="P4" s="20">
        <v>2565.3469488684827</v>
      </c>
      <c r="Q4" s="18">
        <v>39</v>
      </c>
      <c r="R4" s="18">
        <v>39</v>
      </c>
      <c r="S4" s="21">
        <v>2435.6113333333337</v>
      </c>
      <c r="T4" s="21">
        <v>2973.25545932991</v>
      </c>
      <c r="U4" s="22">
        <v>2973.25545932991</v>
      </c>
      <c r="V4" s="23">
        <v>35.333333333333336</v>
      </c>
      <c r="W4" s="18">
        <v>39</v>
      </c>
      <c r="X4" s="24">
        <v>39</v>
      </c>
      <c r="Y4" s="17">
        <v>33390.56</v>
      </c>
      <c r="Z4" s="17">
        <f>AD4+AH4+AL4</f>
        <v>33390.56</v>
      </c>
      <c r="AA4" s="18">
        <v>26</v>
      </c>
      <c r="AB4" s="24">
        <v>26</v>
      </c>
      <c r="AC4" s="17">
        <v>12450.510000000002</v>
      </c>
      <c r="AD4" s="20">
        <v>12450.510000000002</v>
      </c>
      <c r="AE4" s="18">
        <v>25</v>
      </c>
      <c r="AF4" s="18">
        <v>25</v>
      </c>
      <c r="AG4" s="17">
        <v>10520.16</v>
      </c>
      <c r="AH4" s="20">
        <v>10520.16</v>
      </c>
      <c r="AI4" s="18">
        <v>23</v>
      </c>
      <c r="AJ4" s="18">
        <v>23</v>
      </c>
      <c r="AK4" s="17">
        <v>10419.89</v>
      </c>
      <c r="AL4" s="20">
        <v>10419.89</v>
      </c>
      <c r="AM4" s="18">
        <v>24</v>
      </c>
      <c r="AN4" s="18">
        <v>24</v>
      </c>
      <c r="AO4" s="21">
        <v>1645.9733333333334</v>
      </c>
      <c r="AP4" s="21">
        <v>2097.58</v>
      </c>
      <c r="AQ4" s="22">
        <v>2097.58</v>
      </c>
      <c r="AR4" s="23">
        <v>7.333333333333333</v>
      </c>
      <c r="AS4" s="18">
        <v>14</v>
      </c>
      <c r="AT4" s="24">
        <v>14</v>
      </c>
      <c r="AU4" s="17">
        <v>217861.24333333338</v>
      </c>
      <c r="AV4" s="17">
        <f>D4+Z4</f>
        <v>266411.79873022344</v>
      </c>
      <c r="AW4" s="21">
        <f>U4+AQ4</f>
        <v>5070.83545932991</v>
      </c>
      <c r="AX4" s="24">
        <v>48</v>
      </c>
      <c r="AY4" s="18">
        <f>ROUND(F4*0.9, 0)</f>
        <v>38</v>
      </c>
    </row>
    <row r="5">
      <c r="A5" s="2" t="str">
        <v>313</v>
      </c>
      <c r="B5" s="2" t="str">
        <v>JAILSON DOS SANTOS ALMEIDA</v>
      </c>
      <c r="C5" s="17">
        <v>131122.83050922697</v>
      </c>
      <c r="D5" s="17">
        <f>H5+L5+P5</f>
        <v>131122.83050922697</v>
      </c>
      <c r="E5" s="18">
        <v>111</v>
      </c>
      <c r="F5" s="24">
        <v>111</v>
      </c>
      <c r="G5" s="17">
        <v>46473.24613229127</v>
      </c>
      <c r="H5" s="20">
        <v>46473.24613229127</v>
      </c>
      <c r="I5" s="18">
        <v>107</v>
      </c>
      <c r="J5" s="18">
        <v>107</v>
      </c>
      <c r="K5" s="17">
        <v>79945.15597071325</v>
      </c>
      <c r="L5" s="20">
        <v>79945.15597071325</v>
      </c>
      <c r="M5" s="18">
        <v>111</v>
      </c>
      <c r="N5" s="18">
        <v>111</v>
      </c>
      <c r="O5" s="17">
        <v>4704.428406222442</v>
      </c>
      <c r="P5" s="20">
        <v>4704.428406222442</v>
      </c>
      <c r="Q5" s="18">
        <v>104</v>
      </c>
      <c r="R5" s="18">
        <v>104</v>
      </c>
      <c r="S5" s="21">
        <v>1359.041</v>
      </c>
      <c r="T5" s="21">
        <v>1653.347105889302</v>
      </c>
      <c r="U5" s="22">
        <v>1653.347105889302</v>
      </c>
      <c r="V5" s="23">
        <v>85</v>
      </c>
      <c r="W5" s="18">
        <v>93</v>
      </c>
      <c r="X5" s="24">
        <v>93</v>
      </c>
      <c r="Y5" s="17">
        <v>9786.000000000002</v>
      </c>
      <c r="Z5" s="17">
        <f>AD5+AH5+AL5</f>
        <v>9786.000000000002</v>
      </c>
      <c r="AA5" s="18">
        <v>73</v>
      </c>
      <c r="AB5" s="24">
        <v>73</v>
      </c>
      <c r="AC5" s="17">
        <v>7584.990000000002</v>
      </c>
      <c r="AD5" s="20">
        <v>7584.990000000002</v>
      </c>
      <c r="AE5" s="18">
        <v>64</v>
      </c>
      <c r="AF5" s="18">
        <v>64</v>
      </c>
      <c r="AG5" s="17">
        <v>728.51</v>
      </c>
      <c r="AH5" s="20">
        <v>728.51</v>
      </c>
      <c r="AI5" s="18">
        <v>44</v>
      </c>
      <c r="AJ5" s="18">
        <v>44</v>
      </c>
      <c r="AK5" s="17">
        <v>1472.4999999999998</v>
      </c>
      <c r="AL5" s="20">
        <v>1472.4999999999998</v>
      </c>
      <c r="AM5" s="18">
        <v>46</v>
      </c>
      <c r="AN5" s="18">
        <v>46</v>
      </c>
      <c r="AO5" s="21">
        <v>827.0066666666667</v>
      </c>
      <c r="AP5" s="21">
        <v>784.9599999999999</v>
      </c>
      <c r="AQ5" s="22">
        <v>784.9599999999999</v>
      </c>
      <c r="AR5" s="23">
        <v>15</v>
      </c>
      <c r="AS5" s="18">
        <v>39</v>
      </c>
      <c r="AT5" s="24">
        <v>39</v>
      </c>
      <c r="AU5" s="17">
        <v>119290.89633333334</v>
      </c>
      <c r="AV5" s="17">
        <f>D5+Z5</f>
        <v>140908.83050922697</v>
      </c>
      <c r="AW5" s="21">
        <f>U5+AQ5</f>
        <v>2438.307105889302</v>
      </c>
      <c r="AX5" s="24">
        <v>129</v>
      </c>
      <c r="AY5" s="18">
        <f>ROUND(F5*0.9, 0)</f>
        <v>100</v>
      </c>
    </row>
    <row r="6">
      <c r="A6" s="2" t="str">
        <v>172</v>
      </c>
      <c r="B6" s="2" t="str">
        <v>JOSE CARLOS VIEIRA</v>
      </c>
      <c r="C6" s="17">
        <v>101776.40327047504</v>
      </c>
      <c r="D6" s="17">
        <f>H6+L6+P6</f>
        <v>101776.40327047504</v>
      </c>
      <c r="E6" s="18">
        <v>75</v>
      </c>
      <c r="F6" s="24">
        <v>75</v>
      </c>
      <c r="G6" s="17">
        <v>50319.18992771317</v>
      </c>
      <c r="H6" s="20">
        <v>50319.18992771317</v>
      </c>
      <c r="I6" s="18">
        <v>74</v>
      </c>
      <c r="J6" s="18">
        <v>74</v>
      </c>
      <c r="K6" s="17">
        <v>49864.7011684186</v>
      </c>
      <c r="L6" s="20">
        <v>49864.7011684186</v>
      </c>
      <c r="M6" s="18">
        <v>75</v>
      </c>
      <c r="N6" s="18">
        <v>75</v>
      </c>
      <c r="O6" s="17">
        <v>1592.5121743432862</v>
      </c>
      <c r="P6" s="20">
        <v>1592.5121743432862</v>
      </c>
      <c r="Q6" s="18">
        <v>52</v>
      </c>
      <c r="R6" s="18">
        <v>52</v>
      </c>
      <c r="S6" s="21">
        <v>1111.7259999999997</v>
      </c>
      <c r="T6" s="21">
        <v>1367.598121079044</v>
      </c>
      <c r="U6" s="22">
        <v>1367.598121079044</v>
      </c>
      <c r="V6" s="23">
        <v>29.333333333333332</v>
      </c>
      <c r="W6" s="18">
        <v>32</v>
      </c>
      <c r="X6" s="24">
        <v>32</v>
      </c>
      <c r="Y6" s="17">
        <v>12876.684000000001</v>
      </c>
      <c r="Z6" s="17">
        <f>AD6+AH6+AL6</f>
        <v>12876.684000000001</v>
      </c>
      <c r="AA6" s="18">
        <v>50</v>
      </c>
      <c r="AB6" s="24">
        <v>50</v>
      </c>
      <c r="AC6" s="17">
        <v>6030.990000000001</v>
      </c>
      <c r="AD6" s="20">
        <v>6030.990000000001</v>
      </c>
      <c r="AE6" s="18">
        <v>44</v>
      </c>
      <c r="AF6" s="18">
        <v>44</v>
      </c>
      <c r="AG6" s="17">
        <v>4672.61</v>
      </c>
      <c r="AH6" s="20">
        <v>4672.61</v>
      </c>
      <c r="AI6" s="18">
        <v>22</v>
      </c>
      <c r="AJ6" s="18">
        <v>22</v>
      </c>
      <c r="AK6" s="17">
        <v>2173.0840000000003</v>
      </c>
      <c r="AL6" s="20">
        <v>2173.0840000000003</v>
      </c>
      <c r="AM6" s="18">
        <v>25</v>
      </c>
      <c r="AN6" s="18">
        <v>25</v>
      </c>
      <c r="AO6" s="21">
        <v>1132.9466666666667</v>
      </c>
      <c r="AP6" s="21">
        <v>864.9199999999998</v>
      </c>
      <c r="AQ6" s="22">
        <v>864.9199999999998</v>
      </c>
      <c r="AR6" s="23">
        <v>0</v>
      </c>
      <c r="AS6" s="18">
        <v>26</v>
      </c>
      <c r="AT6" s="24">
        <v>26</v>
      </c>
      <c r="AU6" s="17">
        <v>100565.91333333337</v>
      </c>
      <c r="AV6" s="17">
        <f>D6+Z6</f>
        <v>114653.08727047505</v>
      </c>
      <c r="AW6" s="21">
        <f>U6+AQ6</f>
        <v>2232.518121079044</v>
      </c>
      <c r="AX6" s="24">
        <v>85</v>
      </c>
      <c r="AY6" s="18">
        <f>ROUND(F6*0.9, 0)</f>
        <v>68</v>
      </c>
    </row>
    <row r="7">
      <c r="A7" s="2" t="str">
        <v>271</v>
      </c>
      <c r="B7" s="2" t="str">
        <v>MARIA LILIAN SANTOS DE SANTANA</v>
      </c>
      <c r="C7" s="17">
        <v>100569.83766349521</v>
      </c>
      <c r="D7" s="17">
        <f>H7+L7+P7</f>
        <v>100569.83766349521</v>
      </c>
      <c r="E7" s="18">
        <v>107</v>
      </c>
      <c r="F7" s="24">
        <v>107</v>
      </c>
      <c r="G7" s="17">
        <v>45224.91772306613</v>
      </c>
      <c r="H7" s="20">
        <v>45224.91772306613</v>
      </c>
      <c r="I7" s="18">
        <v>105</v>
      </c>
      <c r="J7" s="18">
        <v>105</v>
      </c>
      <c r="K7" s="17">
        <v>52063.666725723</v>
      </c>
      <c r="L7" s="20">
        <v>52063.666725723</v>
      </c>
      <c r="M7" s="18">
        <v>107</v>
      </c>
      <c r="N7" s="18">
        <v>107</v>
      </c>
      <c r="O7" s="17">
        <v>3281.2532147060797</v>
      </c>
      <c r="P7" s="20">
        <v>3281.2532147060797</v>
      </c>
      <c r="Q7" s="18">
        <v>99</v>
      </c>
      <c r="R7" s="18">
        <v>99</v>
      </c>
      <c r="S7" s="21">
        <v>1032.5839999999996</v>
      </c>
      <c r="T7" s="21">
        <v>1268.1279606572966</v>
      </c>
      <c r="U7" s="22">
        <v>1268.1279606572966</v>
      </c>
      <c r="V7" s="23">
        <v>64.33333333333333</v>
      </c>
      <c r="W7" s="18">
        <v>71</v>
      </c>
      <c r="X7" s="24">
        <v>71</v>
      </c>
      <c r="Y7" s="17">
        <v>17074.95</v>
      </c>
      <c r="Z7" s="17">
        <f>AD7+AH7+AL7</f>
        <v>17074.95</v>
      </c>
      <c r="AA7" s="18">
        <v>74</v>
      </c>
      <c r="AB7" s="24">
        <v>74</v>
      </c>
      <c r="AC7" s="17">
        <v>9596.88</v>
      </c>
      <c r="AD7" s="20">
        <v>9596.88</v>
      </c>
      <c r="AE7" s="18">
        <v>67</v>
      </c>
      <c r="AF7" s="18">
        <v>67</v>
      </c>
      <c r="AG7" s="17">
        <v>5491.950000000001</v>
      </c>
      <c r="AH7" s="20">
        <v>5491.950000000001</v>
      </c>
      <c r="AI7" s="18">
        <v>27</v>
      </c>
      <c r="AJ7" s="18">
        <v>27</v>
      </c>
      <c r="AK7" s="17">
        <v>1986.12</v>
      </c>
      <c r="AL7" s="20">
        <v>1986.12</v>
      </c>
      <c r="AM7" s="18">
        <v>19</v>
      </c>
      <c r="AN7" s="18">
        <v>19</v>
      </c>
      <c r="AO7" s="21">
        <v>1117.3600000000001</v>
      </c>
      <c r="AP7" s="21">
        <v>1173.12</v>
      </c>
      <c r="AQ7" s="22">
        <v>1173.12</v>
      </c>
      <c r="AR7" s="23">
        <v>0.3333333333333333</v>
      </c>
      <c r="AS7" s="18">
        <v>37</v>
      </c>
      <c r="AT7" s="24">
        <v>37</v>
      </c>
      <c r="AU7" s="17">
        <v>97957.64133333333</v>
      </c>
      <c r="AV7" s="17">
        <f>D7+Z7</f>
        <v>117644.78766349521</v>
      </c>
      <c r="AW7" s="21">
        <f>U7+AQ7</f>
        <v>2441.2479606572965</v>
      </c>
      <c r="AX7" s="24">
        <v>124</v>
      </c>
      <c r="AY7" s="18">
        <f>ROUND(F7*0.9, 0)</f>
        <v>96</v>
      </c>
    </row>
    <row r="8">
      <c r="A8" s="2" t="str">
        <v>299</v>
      </c>
      <c r="B8" s="2" t="str">
        <v>GIULIANO FERNANDES CESARINO</v>
      </c>
      <c r="C8" s="17">
        <v>98775.24813263353</v>
      </c>
      <c r="D8" s="17">
        <f>H8+L8+P8</f>
        <v>98775.24813263353</v>
      </c>
      <c r="E8" s="18">
        <v>110</v>
      </c>
      <c r="F8" s="24">
        <v>110</v>
      </c>
      <c r="G8" s="17">
        <v>38323.83432812034</v>
      </c>
      <c r="H8" s="20">
        <v>38323.83432812034</v>
      </c>
      <c r="I8" s="18">
        <v>104</v>
      </c>
      <c r="J8" s="18">
        <v>104</v>
      </c>
      <c r="K8" s="17">
        <v>56796.703673747455</v>
      </c>
      <c r="L8" s="20">
        <v>56796.703673747455</v>
      </c>
      <c r="M8" s="18">
        <v>106</v>
      </c>
      <c r="N8" s="18">
        <v>106</v>
      </c>
      <c r="O8" s="17">
        <v>3654.710130765729</v>
      </c>
      <c r="P8" s="20">
        <v>3654.710130765729</v>
      </c>
      <c r="Q8" s="18">
        <v>70</v>
      </c>
      <c r="R8" s="18">
        <v>70</v>
      </c>
      <c r="S8" s="21">
        <v>959.1433333333333</v>
      </c>
      <c r="T8" s="21">
        <v>1171.2313625278623</v>
      </c>
      <c r="U8" s="22">
        <v>1171.2313625278623</v>
      </c>
      <c r="V8" s="23">
        <v>48.333333333333336</v>
      </c>
      <c r="W8" s="18">
        <v>53</v>
      </c>
      <c r="X8" s="24">
        <v>53</v>
      </c>
      <c r="Y8" s="17">
        <v>6776.979999999999</v>
      </c>
      <c r="Z8" s="17">
        <f>AD8+AH8+AL8</f>
        <v>6776.979999999999</v>
      </c>
      <c r="AA8" s="18">
        <v>61</v>
      </c>
      <c r="AB8" s="24">
        <v>61</v>
      </c>
      <c r="AC8" s="17">
        <v>3865.1799999999994</v>
      </c>
      <c r="AD8" s="20">
        <v>3865.1799999999994</v>
      </c>
      <c r="AE8" s="18">
        <v>48</v>
      </c>
      <c r="AF8" s="18">
        <v>48</v>
      </c>
      <c r="AG8" s="17">
        <v>1421.8599999999997</v>
      </c>
      <c r="AH8" s="20">
        <v>1421.8599999999997</v>
      </c>
      <c r="AI8" s="18">
        <v>29</v>
      </c>
      <c r="AJ8" s="18">
        <v>29</v>
      </c>
      <c r="AK8" s="17">
        <v>1489.9399999999998</v>
      </c>
      <c r="AL8" s="20">
        <v>1489.9399999999998</v>
      </c>
      <c r="AM8" s="18">
        <v>32</v>
      </c>
      <c r="AN8" s="18">
        <v>32</v>
      </c>
      <c r="AO8" s="21">
        <v>493.8133333333333</v>
      </c>
      <c r="AP8" s="21">
        <v>451.04</v>
      </c>
      <c r="AQ8" s="22">
        <v>451.04</v>
      </c>
      <c r="AR8" s="23">
        <v>4.333333333333333</v>
      </c>
      <c r="AS8" s="18">
        <v>38</v>
      </c>
      <c r="AT8" s="24">
        <v>38</v>
      </c>
      <c r="AU8" s="17">
        <v>88415.08299999998</v>
      </c>
      <c r="AV8" s="17">
        <f>D8+Z8</f>
        <v>105552.22813263352</v>
      </c>
      <c r="AW8" s="21">
        <f>U8+AQ8</f>
        <v>1622.2713625278623</v>
      </c>
      <c r="AX8" s="24">
        <v>129</v>
      </c>
      <c r="AY8" s="18">
        <f>ROUND(F8*0.9, 0)</f>
        <v>99</v>
      </c>
    </row>
    <row r="9">
      <c r="A9" s="2" t="str">
        <v>267</v>
      </c>
      <c r="B9" s="2" t="str">
        <v>LUIZ CARLOS TELES SILVA</v>
      </c>
      <c r="C9" s="17">
        <v>94989.58125651073</v>
      </c>
      <c r="D9" s="17">
        <f>H9+L9+P9</f>
        <v>94989.58125651073</v>
      </c>
      <c r="E9" s="18">
        <v>85</v>
      </c>
      <c r="F9" s="24">
        <v>85</v>
      </c>
      <c r="G9" s="17">
        <v>36373.79733718666</v>
      </c>
      <c r="H9" s="20">
        <v>36373.79733718666</v>
      </c>
      <c r="I9" s="18">
        <v>82</v>
      </c>
      <c r="J9" s="18">
        <v>82</v>
      </c>
      <c r="K9" s="17">
        <v>56766.027004654476</v>
      </c>
      <c r="L9" s="20">
        <v>56766.027004654476</v>
      </c>
      <c r="M9" s="18">
        <v>84</v>
      </c>
      <c r="N9" s="18">
        <v>84</v>
      </c>
      <c r="O9" s="17">
        <v>1849.756914669602</v>
      </c>
      <c r="P9" s="20">
        <v>1849.756914669602</v>
      </c>
      <c r="Q9" s="18">
        <v>69</v>
      </c>
      <c r="R9" s="18">
        <v>69</v>
      </c>
      <c r="S9" s="21">
        <v>950.7456666666665</v>
      </c>
      <c r="T9" s="21">
        <v>1160.4072876861828</v>
      </c>
      <c r="U9" s="22">
        <v>1160.4072876861828</v>
      </c>
      <c r="V9" s="23">
        <v>49</v>
      </c>
      <c r="W9" s="18">
        <v>53</v>
      </c>
      <c r="X9" s="24">
        <v>53</v>
      </c>
      <c r="Y9" s="17">
        <v>19236.676000000003</v>
      </c>
      <c r="Z9" s="17">
        <f>AD9+AH9+AL9</f>
        <v>19236.676000000003</v>
      </c>
      <c r="AA9" s="18">
        <v>55</v>
      </c>
      <c r="AB9" s="24">
        <v>55</v>
      </c>
      <c r="AC9" s="17">
        <v>10275.116000000002</v>
      </c>
      <c r="AD9" s="20">
        <v>10275.116000000002</v>
      </c>
      <c r="AE9" s="18">
        <v>50</v>
      </c>
      <c r="AF9" s="18">
        <v>50</v>
      </c>
      <c r="AG9" s="17">
        <v>5382</v>
      </c>
      <c r="AH9" s="20">
        <v>5382</v>
      </c>
      <c r="AI9" s="18">
        <v>25</v>
      </c>
      <c r="AJ9" s="18">
        <v>25</v>
      </c>
      <c r="AK9" s="17">
        <v>3579.56</v>
      </c>
      <c r="AL9" s="20">
        <v>3579.56</v>
      </c>
      <c r="AM9" s="18">
        <v>34</v>
      </c>
      <c r="AN9" s="18">
        <v>34</v>
      </c>
      <c r="AO9" s="21">
        <v>1088.9333333333334</v>
      </c>
      <c r="AP9" s="21">
        <v>1393.4999999999998</v>
      </c>
      <c r="AQ9" s="22">
        <v>1393.4999999999998</v>
      </c>
      <c r="AR9" s="23">
        <v>1.6666666666666667</v>
      </c>
      <c r="AS9" s="18">
        <v>29</v>
      </c>
      <c r="AT9" s="24">
        <v>29</v>
      </c>
      <c r="AU9" s="17">
        <v>94031.285</v>
      </c>
      <c r="AV9" s="17">
        <f>D9+Z9</f>
        <v>114226.25725651074</v>
      </c>
      <c r="AW9" s="21">
        <f>U9+AQ9</f>
        <v>2553.907287686183</v>
      </c>
      <c r="AX9" s="24">
        <v>98</v>
      </c>
      <c r="AY9" s="18">
        <f>ROUND(F9*0.9, 0)</f>
        <v>77</v>
      </c>
    </row>
    <row r="10">
      <c r="A10" s="2" t="str">
        <v>294</v>
      </c>
      <c r="B10" s="2" t="str">
        <v>KALINE PEREIRA BARBOSA</v>
      </c>
      <c r="C10" s="17">
        <v>88518.92848253134</v>
      </c>
      <c r="D10" s="17">
        <f>H10+L10+P10</f>
        <v>88518.92848253134</v>
      </c>
      <c r="E10" s="18">
        <v>57</v>
      </c>
      <c r="F10" s="24">
        <v>57</v>
      </c>
      <c r="G10" s="17">
        <v>46652.68464861782</v>
      </c>
      <c r="H10" s="20">
        <v>46652.68464861782</v>
      </c>
      <c r="I10" s="18">
        <v>57</v>
      </c>
      <c r="J10" s="18">
        <v>57</v>
      </c>
      <c r="K10" s="17">
        <v>40264.45047179497</v>
      </c>
      <c r="L10" s="20">
        <v>40264.45047179497</v>
      </c>
      <c r="M10" s="18">
        <v>57</v>
      </c>
      <c r="N10" s="18">
        <v>57</v>
      </c>
      <c r="O10" s="17">
        <v>1601.7933621185489</v>
      </c>
      <c r="P10" s="20">
        <v>1601.7933621185489</v>
      </c>
      <c r="Q10" s="18">
        <v>56</v>
      </c>
      <c r="R10" s="18">
        <v>56</v>
      </c>
      <c r="S10" s="21">
        <v>859.6096666666667</v>
      </c>
      <c r="T10" s="21">
        <v>1061.8572630434985</v>
      </c>
      <c r="U10" s="22">
        <v>1061.8572630434985</v>
      </c>
      <c r="V10" s="23">
        <v>50</v>
      </c>
      <c r="W10" s="18">
        <v>54</v>
      </c>
      <c r="X10" s="24">
        <v>54</v>
      </c>
      <c r="Y10" s="17">
        <v>14879.52</v>
      </c>
      <c r="Z10" s="17">
        <f>AD10+AH10+AL10</f>
        <v>14879.52</v>
      </c>
      <c r="AA10" s="18">
        <v>45</v>
      </c>
      <c r="AB10" s="24">
        <v>45</v>
      </c>
      <c r="AC10" s="17">
        <v>8088.120000000001</v>
      </c>
      <c r="AD10" s="20">
        <v>8088.120000000001</v>
      </c>
      <c r="AE10" s="18">
        <v>36</v>
      </c>
      <c r="AF10" s="18">
        <v>36</v>
      </c>
      <c r="AG10" s="17">
        <v>4736.16</v>
      </c>
      <c r="AH10" s="20">
        <v>4736.16</v>
      </c>
      <c r="AI10" s="18">
        <v>28</v>
      </c>
      <c r="AJ10" s="18">
        <v>28</v>
      </c>
      <c r="AK10" s="17">
        <v>2055.24</v>
      </c>
      <c r="AL10" s="20">
        <v>2055.24</v>
      </c>
      <c r="AM10" s="18">
        <v>20</v>
      </c>
      <c r="AN10" s="18">
        <v>20</v>
      </c>
      <c r="AO10" s="21">
        <v>1158.6866666666667</v>
      </c>
      <c r="AP10" s="21">
        <v>1035.9</v>
      </c>
      <c r="AQ10" s="22">
        <v>1035.9</v>
      </c>
      <c r="AR10" s="23">
        <v>0.3333333333333333</v>
      </c>
      <c r="AS10" s="18">
        <v>20</v>
      </c>
      <c r="AT10" s="24">
        <v>20</v>
      </c>
      <c r="AU10" s="17">
        <v>90181.58133333334</v>
      </c>
      <c r="AV10" s="17">
        <f>D10+Z10</f>
        <v>103398.44848253134</v>
      </c>
      <c r="AW10" s="21">
        <f>U10+AQ10</f>
        <v>2097.757263043499</v>
      </c>
      <c r="AX10" s="24">
        <v>66</v>
      </c>
      <c r="AY10" s="18">
        <f>ROUND(F10*0.9, 0)</f>
        <v>51</v>
      </c>
    </row>
    <row r="11">
      <c r="A11" s="2" t="str">
        <v>78</v>
      </c>
      <c r="B11" s="2" t="str">
        <v>VANESSIA SANTOS BATISTA</v>
      </c>
      <c r="C11" s="17">
        <v>75130.40965634264</v>
      </c>
      <c r="D11" s="17">
        <f>H11+L11+P11</f>
        <v>75130.40965634264</v>
      </c>
      <c r="E11" s="18">
        <v>13</v>
      </c>
      <c r="F11" s="24">
        <v>13</v>
      </c>
      <c r="G11" s="17">
        <v>29468.775382566855</v>
      </c>
      <c r="H11" s="20">
        <v>29468.775382566855</v>
      </c>
      <c r="I11" s="18">
        <v>13</v>
      </c>
      <c r="J11" s="18">
        <v>13</v>
      </c>
      <c r="K11" s="17">
        <v>42745.95326627067</v>
      </c>
      <c r="L11" s="20">
        <v>42745.95326627067</v>
      </c>
      <c r="M11" s="18">
        <v>13</v>
      </c>
      <c r="N11" s="18">
        <v>13</v>
      </c>
      <c r="O11" s="17">
        <v>2915.6810075051176</v>
      </c>
      <c r="P11" s="20">
        <v>2915.6810075051176</v>
      </c>
      <c r="Q11" s="18">
        <v>13</v>
      </c>
      <c r="R11" s="18">
        <v>13</v>
      </c>
      <c r="S11" s="21">
        <v>761.8266666666667</v>
      </c>
      <c r="T11" s="21">
        <v>930.9112414083513</v>
      </c>
      <c r="U11" s="22">
        <v>930.9112414083513</v>
      </c>
      <c r="V11" s="23">
        <v>9.666666666666666</v>
      </c>
      <c r="W11" s="18">
        <v>11</v>
      </c>
      <c r="X11" s="24">
        <v>11</v>
      </c>
      <c r="Y11" s="17">
        <v>47072.27</v>
      </c>
      <c r="Z11" s="17">
        <f>AD11+AH11+AL11</f>
        <v>47072.27</v>
      </c>
      <c r="AA11" s="18">
        <v>8</v>
      </c>
      <c r="AB11" s="24">
        <v>8</v>
      </c>
      <c r="AC11" s="17">
        <v>30333.15</v>
      </c>
      <c r="AD11" s="20">
        <v>30333.15</v>
      </c>
      <c r="AE11" s="18">
        <v>8</v>
      </c>
      <c r="AF11" s="18">
        <v>8</v>
      </c>
      <c r="AG11" s="17">
        <v>5451.2</v>
      </c>
      <c r="AH11" s="20">
        <v>5451.2</v>
      </c>
      <c r="AI11" s="18">
        <v>8</v>
      </c>
      <c r="AJ11" s="18">
        <v>8</v>
      </c>
      <c r="AK11" s="17">
        <v>11287.919999999998</v>
      </c>
      <c r="AL11" s="20">
        <v>11287.919999999998</v>
      </c>
      <c r="AM11" s="18">
        <v>8</v>
      </c>
      <c r="AN11" s="18">
        <v>8</v>
      </c>
      <c r="AO11" s="21">
        <v>1747.8946666666666</v>
      </c>
      <c r="AP11" s="21">
        <v>3545.3440000000005</v>
      </c>
      <c r="AQ11" s="22">
        <v>3545.3440000000005</v>
      </c>
      <c r="AR11" s="23">
        <v>3.3333333333333335</v>
      </c>
      <c r="AS11" s="18">
        <v>5</v>
      </c>
      <c r="AT11" s="24">
        <v>5</v>
      </c>
      <c r="AU11" s="17">
        <v>88033.22366666667</v>
      </c>
      <c r="AV11" s="17">
        <f>D11+Z11</f>
        <v>122202.67965634263</v>
      </c>
      <c r="AW11" s="21">
        <f>U11+AQ11</f>
        <v>4476.255241408352</v>
      </c>
      <c r="AX11" s="24">
        <v>15</v>
      </c>
      <c r="AY11" s="18">
        <f>ROUND(F11*0.9, 0)</f>
        <v>12</v>
      </c>
    </row>
    <row r="12">
      <c r="A12" s="2" t="str">
        <v>312</v>
      </c>
      <c r="B12" s="2" t="str">
        <v>EDINALDO PEREIRA LIMA</v>
      </c>
      <c r="C12" s="17">
        <v>69110.26317987464</v>
      </c>
      <c r="D12" s="17">
        <f>H12+L12+P12</f>
        <v>69110.26317987464</v>
      </c>
      <c r="E12" s="18">
        <v>78</v>
      </c>
      <c r="F12" s="24">
        <v>78</v>
      </c>
      <c r="G12" s="17">
        <v>29979.319252867343</v>
      </c>
      <c r="H12" s="20">
        <v>29979.319252867343</v>
      </c>
      <c r="I12" s="18">
        <v>75</v>
      </c>
      <c r="J12" s="18">
        <v>75</v>
      </c>
      <c r="K12" s="17">
        <v>36032.02059905757</v>
      </c>
      <c r="L12" s="20">
        <v>36032.02059905757</v>
      </c>
      <c r="M12" s="18">
        <v>78</v>
      </c>
      <c r="N12" s="18">
        <v>78</v>
      </c>
      <c r="O12" s="17">
        <v>3098.923327949721</v>
      </c>
      <c r="P12" s="20">
        <v>3098.923327949721</v>
      </c>
      <c r="Q12" s="18">
        <v>73</v>
      </c>
      <c r="R12" s="18">
        <v>73</v>
      </c>
      <c r="S12" s="21">
        <v>619.9243333333334</v>
      </c>
      <c r="T12" s="21">
        <v>759.4069054857034</v>
      </c>
      <c r="U12" s="22">
        <v>759.4069054857034</v>
      </c>
      <c r="V12" s="23">
        <v>60.666666666666664</v>
      </c>
      <c r="W12" s="18">
        <v>67</v>
      </c>
      <c r="X12" s="24">
        <v>67</v>
      </c>
      <c r="Y12" s="17">
        <v>9726.74</v>
      </c>
      <c r="Z12" s="17">
        <f>AD12+AH12+AL12</f>
        <v>9726.74</v>
      </c>
      <c r="AA12" s="18">
        <v>39</v>
      </c>
      <c r="AB12" s="24">
        <v>39</v>
      </c>
      <c r="AC12" s="17">
        <v>5101.43</v>
      </c>
      <c r="AD12" s="20">
        <v>5101.43</v>
      </c>
      <c r="AE12" s="18">
        <v>37</v>
      </c>
      <c r="AF12" s="18">
        <v>37</v>
      </c>
      <c r="AG12" s="17">
        <v>1687.0000000000002</v>
      </c>
      <c r="AH12" s="20">
        <v>1687.0000000000002</v>
      </c>
      <c r="AI12" s="18">
        <v>15</v>
      </c>
      <c r="AJ12" s="18">
        <v>15</v>
      </c>
      <c r="AK12" s="17">
        <v>2938.31</v>
      </c>
      <c r="AL12" s="20">
        <v>2938.31</v>
      </c>
      <c r="AM12" s="18">
        <v>20</v>
      </c>
      <c r="AN12" s="18">
        <v>20</v>
      </c>
      <c r="AO12" s="21">
        <v>678.1333333333332</v>
      </c>
      <c r="AP12" s="21">
        <v>668.9599999999999</v>
      </c>
      <c r="AQ12" s="22">
        <v>668.9599999999999</v>
      </c>
      <c r="AR12" s="23">
        <v>2.6666666666666665</v>
      </c>
      <c r="AS12" s="18">
        <v>26</v>
      </c>
      <c r="AT12" s="24">
        <v>26</v>
      </c>
      <c r="AU12" s="17">
        <v>66845.48633333333</v>
      </c>
      <c r="AV12" s="17">
        <f>D12+Z12</f>
        <v>78837.00317987465</v>
      </c>
      <c r="AW12" s="21">
        <f>U12+AQ12</f>
        <v>1428.3669054857032</v>
      </c>
      <c r="AX12" s="24">
        <v>88</v>
      </c>
      <c r="AY12" s="18">
        <f>ROUND(F12*0.9, 0)</f>
        <v>70</v>
      </c>
    </row>
    <row r="13">
      <c r="A13" s="2" t="str">
        <v>87</v>
      </c>
      <c r="B13" s="2" t="str">
        <v>LAYSA SILVA BASTOS</v>
      </c>
      <c r="C13" s="17">
        <v>68157.809118687</v>
      </c>
      <c r="D13" s="17">
        <f>H13+L13+P13</f>
        <v>68157.809118687</v>
      </c>
      <c r="E13" s="18">
        <v>92</v>
      </c>
      <c r="F13" s="24">
        <v>92</v>
      </c>
      <c r="G13" s="17">
        <v>28731.50790886574</v>
      </c>
      <c r="H13" s="20">
        <v>28731.50790886574</v>
      </c>
      <c r="I13" s="18">
        <v>91</v>
      </c>
      <c r="J13" s="18">
        <v>91</v>
      </c>
      <c r="K13" s="17">
        <v>36632.70669697029</v>
      </c>
      <c r="L13" s="20">
        <v>36632.70669697029</v>
      </c>
      <c r="M13" s="18">
        <v>92</v>
      </c>
      <c r="N13" s="18">
        <v>92</v>
      </c>
      <c r="O13" s="17">
        <v>2793.5945128509716</v>
      </c>
      <c r="P13" s="20">
        <v>2793.5945128509716</v>
      </c>
      <c r="Q13" s="18">
        <v>88</v>
      </c>
      <c r="R13" s="18">
        <v>88</v>
      </c>
      <c r="S13" s="21">
        <v>621.755</v>
      </c>
      <c r="T13" s="21">
        <v>760.357292892842</v>
      </c>
      <c r="U13" s="22">
        <v>760.357292892842</v>
      </c>
      <c r="V13" s="23">
        <v>78.33333333333333</v>
      </c>
      <c r="W13" s="18">
        <v>85</v>
      </c>
      <c r="X13" s="24">
        <v>85</v>
      </c>
      <c r="Y13" s="17">
        <v>4804.756</v>
      </c>
      <c r="Z13" s="17">
        <f>AD13+AH13+AL13</f>
        <v>4804.756</v>
      </c>
      <c r="AA13" s="18">
        <v>52</v>
      </c>
      <c r="AB13" s="24">
        <v>52</v>
      </c>
      <c r="AC13" s="17">
        <v>3636.396</v>
      </c>
      <c r="AD13" s="20">
        <v>3636.396</v>
      </c>
      <c r="AE13" s="18">
        <v>49</v>
      </c>
      <c r="AF13" s="18">
        <v>49</v>
      </c>
      <c r="AG13" s="17">
        <v>348.44</v>
      </c>
      <c r="AH13" s="20">
        <v>348.44</v>
      </c>
      <c r="AI13" s="18">
        <v>16</v>
      </c>
      <c r="AJ13" s="18">
        <v>16</v>
      </c>
      <c r="AK13" s="17">
        <v>819.9200000000001</v>
      </c>
      <c r="AL13" s="20">
        <v>819.9200000000001</v>
      </c>
      <c r="AM13" s="18">
        <v>24</v>
      </c>
      <c r="AN13" s="18">
        <v>24</v>
      </c>
      <c r="AO13" s="21">
        <v>670.2266666666667</v>
      </c>
      <c r="AP13" s="21">
        <v>379.22</v>
      </c>
      <c r="AQ13" s="22">
        <v>379.22</v>
      </c>
      <c r="AR13" s="23">
        <v>0</v>
      </c>
      <c r="AS13" s="18">
        <v>32</v>
      </c>
      <c r="AT13" s="24">
        <v>32</v>
      </c>
      <c r="AU13" s="17">
        <v>63794.58866666666</v>
      </c>
      <c r="AV13" s="17">
        <f>D13+Z13</f>
        <v>72962.565118687</v>
      </c>
      <c r="AW13" s="21">
        <f>U13+AQ13</f>
        <v>1139.577292892842</v>
      </c>
      <c r="AX13" s="24">
        <v>107</v>
      </c>
      <c r="AY13" s="18">
        <f>ROUND(F13*0.9, 0)</f>
        <v>83</v>
      </c>
    </row>
    <row r="14">
      <c r="A14" s="25" t="str">
        <v>21</v>
      </c>
      <c r="B14" s="26" t="str">
        <v>RÔMULO AMADO DA</v>
      </c>
      <c r="C14" s="27">
        <f>SUM(C4:C13)</f>
        <v>0</v>
      </c>
      <c r="D14" s="27">
        <f>SUM(D4:D13)</f>
        <v>0</v>
      </c>
      <c r="E14" s="28">
        <f>SUM(E4:E13)</f>
        <v>0</v>
      </c>
      <c r="F14" s="28">
        <f>SUM(F4:F13)</f>
        <v>0</v>
      </c>
      <c r="G14" s="27">
        <f>SUM(G4:G13)</f>
        <v>0</v>
      </c>
      <c r="H14" s="27">
        <f>SUM(H4:H13)</f>
        <v>0</v>
      </c>
      <c r="I14" s="28">
        <f>SUM(I4:I13)</f>
        <v>0</v>
      </c>
      <c r="J14" s="28">
        <f>SUM(J4:J13)</f>
        <v>0</v>
      </c>
      <c r="K14" s="27">
        <f>SUM(K4:K13)</f>
        <v>0</v>
      </c>
      <c r="L14" s="27">
        <f>SUM(L4:L13)</f>
        <v>0</v>
      </c>
      <c r="M14" s="28">
        <f>SUM(M4:M13)</f>
        <v>0</v>
      </c>
      <c r="N14" s="28">
        <f>SUM(N4:N13)</f>
        <v>0</v>
      </c>
      <c r="O14" s="27">
        <f>SUM(O4:O13)</f>
        <v>0</v>
      </c>
      <c r="P14" s="27">
        <f>SUM(P4:P13)</f>
        <v>0</v>
      </c>
      <c r="Q14" s="28">
        <f>SUM(Q4:Q13)</f>
        <v>0</v>
      </c>
      <c r="R14" s="28">
        <f>SUM(R4:R13)</f>
        <v>0</v>
      </c>
      <c r="S14" s="29">
        <f>SUM(S4:S13)</f>
        <v>0</v>
      </c>
      <c r="T14" s="29">
        <f>SUM(T4:T13)</f>
        <v>0</v>
      </c>
      <c r="U14" s="29">
        <f>SUM(U4:U13)</f>
        <v>0</v>
      </c>
      <c r="V14" s="30">
        <f>SUM(V4:V13)</f>
        <v>0</v>
      </c>
      <c r="W14" s="28">
        <f>SUM(W4:W13)</f>
        <v>0</v>
      </c>
      <c r="X14" s="28">
        <f>SUM(X4:X13)</f>
        <v>0</v>
      </c>
      <c r="Y14" s="27">
        <f>SUM(Y4:Y13)</f>
        <v>0</v>
      </c>
      <c r="Z14" s="27">
        <f>SUM(Z4:Z13)</f>
        <v>0</v>
      </c>
      <c r="AA14" s="28">
        <f>SUM(AA4:AA13)</f>
        <v>0</v>
      </c>
      <c r="AB14" s="28">
        <f>SUM(AB4:AB13)</f>
        <v>0</v>
      </c>
      <c r="AC14" s="27">
        <f>SUM(AC4:AC13)</f>
        <v>0</v>
      </c>
      <c r="AD14" s="27">
        <f>SUM(AD4:AD13)</f>
        <v>0</v>
      </c>
      <c r="AE14" s="28">
        <f>SUM(AE4:AE13)</f>
        <v>0</v>
      </c>
      <c r="AF14" s="28">
        <f>SUM(AF4:AF13)</f>
        <v>0</v>
      </c>
      <c r="AG14" s="27">
        <f>SUM(AG4:AG13)</f>
        <v>0</v>
      </c>
      <c r="AH14" s="27">
        <f>SUM(AH4:AH13)</f>
        <v>0</v>
      </c>
      <c r="AI14" s="28">
        <f>SUM(AI4:AI13)</f>
        <v>0</v>
      </c>
      <c r="AJ14" s="28">
        <f>SUM(AJ4:AJ13)</f>
        <v>0</v>
      </c>
      <c r="AK14" s="27">
        <f>SUM(AK4:AK13)</f>
        <v>0</v>
      </c>
      <c r="AL14" s="27">
        <f>SUM(AL4:AL13)</f>
        <v>0</v>
      </c>
      <c r="AM14" s="28">
        <f>SUM(AM4:AM13)</f>
        <v>0</v>
      </c>
      <c r="AN14" s="28">
        <f>SUM(AN4:AN13)</f>
        <v>0</v>
      </c>
      <c r="AO14" s="29">
        <f>SUM(AO4:AO13)</f>
        <v>0</v>
      </c>
      <c r="AP14" s="29">
        <f>SUM(AP4:AP13)</f>
        <v>0</v>
      </c>
      <c r="AQ14" s="29">
        <f>SUM(AQ4:AQ13)</f>
        <v>0</v>
      </c>
      <c r="AR14" s="30">
        <f>SUM(AR4:AR13)</f>
        <v>0</v>
      </c>
      <c r="AS14" s="28">
        <f>SUM(AS4:AS13)</f>
        <v>0</v>
      </c>
      <c r="AT14" s="28">
        <f>SUM(AT4:AT13)</f>
        <v>0</v>
      </c>
      <c r="AU14" s="27">
        <f>SUM(AU4:AU13)</f>
        <v>0</v>
      </c>
      <c r="AV14" s="27">
        <f>SUM(AV4:AV13)</f>
        <v>0</v>
      </c>
      <c r="AW14" s="29">
        <f>SUM(AW4:AW13)</f>
        <v>0</v>
      </c>
      <c r="AX14" s="28">
        <f>SUM(AX4:AX13)</f>
        <v>0</v>
      </c>
      <c r="AY14" s="28">
        <f>ROUND(F14*0.9, 0)</f>
        <v>0</v>
      </c>
    </row>
    <row r="15">
      <c r="A15" s="2" t="str">
        <v>293</v>
      </c>
      <c r="B15" s="2" t="str">
        <v>GEOVÂNE OLIVEIRA CERQUEIRA DE CARVALHO</v>
      </c>
      <c r="C15" s="17">
        <v>145729.88824726894</v>
      </c>
      <c r="D15" s="17">
        <f>H15+L15+P15</f>
        <v>145729.88824726894</v>
      </c>
      <c r="E15" s="18">
        <v>85</v>
      </c>
      <c r="F15" s="24">
        <v>85</v>
      </c>
      <c r="G15" s="17">
        <v>55675.97769286817</v>
      </c>
      <c r="H15" s="20">
        <v>55675.97769286817</v>
      </c>
      <c r="I15" s="18">
        <v>84</v>
      </c>
      <c r="J15" s="18">
        <v>84</v>
      </c>
      <c r="K15" s="17">
        <v>86594.47147309234</v>
      </c>
      <c r="L15" s="20">
        <v>86594.47147309234</v>
      </c>
      <c r="M15" s="18">
        <v>85</v>
      </c>
      <c r="N15" s="18">
        <v>85</v>
      </c>
      <c r="O15" s="17">
        <v>3459.439081308446</v>
      </c>
      <c r="P15" s="20">
        <v>3459.439081308446</v>
      </c>
      <c r="Q15" s="18">
        <v>79</v>
      </c>
      <c r="R15" s="18">
        <v>79</v>
      </c>
      <c r="S15" s="21">
        <v>1490.9803333333339</v>
      </c>
      <c r="T15" s="21">
        <v>1865.596006106038</v>
      </c>
      <c r="U15" s="22">
        <v>1865.596006106038</v>
      </c>
      <c r="V15" s="23">
        <v>55.333333333333336</v>
      </c>
      <c r="W15" s="18">
        <v>59</v>
      </c>
      <c r="X15" s="24">
        <v>59</v>
      </c>
      <c r="Y15" s="17">
        <v>17738.410000000003</v>
      </c>
      <c r="Z15" s="17">
        <f>AD15+AH15+AL15</f>
        <v>17738.410000000003</v>
      </c>
      <c r="AA15" s="18">
        <v>58</v>
      </c>
      <c r="AB15" s="24">
        <v>58</v>
      </c>
      <c r="AC15" s="17">
        <v>11271.960000000001</v>
      </c>
      <c r="AD15" s="20">
        <v>11271.960000000001</v>
      </c>
      <c r="AE15" s="18">
        <v>56</v>
      </c>
      <c r="AF15" s="18">
        <v>56</v>
      </c>
      <c r="AG15" s="17">
        <v>3047.400000000001</v>
      </c>
      <c r="AH15" s="20">
        <v>3047.400000000001</v>
      </c>
      <c r="AI15" s="18">
        <v>23</v>
      </c>
      <c r="AJ15" s="18">
        <v>23</v>
      </c>
      <c r="AK15" s="17">
        <v>3419.0499999999993</v>
      </c>
      <c r="AL15" s="20">
        <v>3419.0499999999993</v>
      </c>
      <c r="AM15" s="18">
        <v>32</v>
      </c>
      <c r="AN15" s="18">
        <v>32</v>
      </c>
      <c r="AO15" s="21">
        <v>667.3900000000001</v>
      </c>
      <c r="AP15" s="21">
        <v>1332.6899999999996</v>
      </c>
      <c r="AQ15" s="22">
        <v>1332.6899999999996</v>
      </c>
      <c r="AR15" s="23">
        <v>8.666666666666666</v>
      </c>
      <c r="AS15" s="18">
        <v>30</v>
      </c>
      <c r="AT15" s="24">
        <v>30</v>
      </c>
      <c r="AU15" s="17">
        <v>127591.69666666666</v>
      </c>
      <c r="AV15" s="17">
        <f>D15+Z15</f>
        <v>163468.29824726895</v>
      </c>
      <c r="AW15" s="21">
        <f>U15+AQ15</f>
        <v>3198.2860061060373</v>
      </c>
      <c r="AX15" s="24">
        <v>100</v>
      </c>
      <c r="AY15" s="18">
        <f>ROUND(F15*0.9, 0)</f>
        <v>77</v>
      </c>
    </row>
    <row r="16">
      <c r="A16" s="2" t="str">
        <v>286</v>
      </c>
      <c r="B16" s="2" t="str">
        <v>VALNEI NOVAIS DE CARVALHO</v>
      </c>
      <c r="C16" s="17">
        <v>134069.63686249722</v>
      </c>
      <c r="D16" s="17">
        <f>H16+L16+P16</f>
        <v>134069.63686249722</v>
      </c>
      <c r="E16" s="18">
        <v>95</v>
      </c>
      <c r="F16" s="24">
        <v>95</v>
      </c>
      <c r="G16" s="17">
        <v>53122.157272675846</v>
      </c>
      <c r="H16" s="20">
        <v>53122.157272675846</v>
      </c>
      <c r="I16" s="18">
        <v>92</v>
      </c>
      <c r="J16" s="18">
        <v>92</v>
      </c>
      <c r="K16" s="17">
        <v>75502.06594212251</v>
      </c>
      <c r="L16" s="20">
        <v>75502.06594212251</v>
      </c>
      <c r="M16" s="18">
        <v>94</v>
      </c>
      <c r="N16" s="18">
        <v>94</v>
      </c>
      <c r="O16" s="17">
        <v>5445.413647698857</v>
      </c>
      <c r="P16" s="20">
        <v>5445.413647698857</v>
      </c>
      <c r="Q16" s="18">
        <v>70</v>
      </c>
      <c r="R16" s="18">
        <v>70</v>
      </c>
      <c r="S16" s="21">
        <v>1311.956</v>
      </c>
      <c r="T16" s="21">
        <v>1632.35676905702</v>
      </c>
      <c r="U16" s="22">
        <v>1632.35676905702</v>
      </c>
      <c r="V16" s="23">
        <v>36.333333333333336</v>
      </c>
      <c r="W16" s="18">
        <v>41</v>
      </c>
      <c r="X16" s="24">
        <v>41</v>
      </c>
      <c r="Y16" s="17">
        <v>22565.860000000004</v>
      </c>
      <c r="Z16" s="17">
        <f>AD16+AH16+AL16</f>
        <v>22565.860000000004</v>
      </c>
      <c r="AA16" s="18">
        <v>71</v>
      </c>
      <c r="AB16" s="24">
        <v>71</v>
      </c>
      <c r="AC16" s="17">
        <v>10247.740000000002</v>
      </c>
      <c r="AD16" s="20">
        <v>10247.740000000002</v>
      </c>
      <c r="AE16" s="18">
        <v>59</v>
      </c>
      <c r="AF16" s="18">
        <v>59</v>
      </c>
      <c r="AG16" s="17">
        <v>6183.6</v>
      </c>
      <c r="AH16" s="20">
        <v>6183.6</v>
      </c>
      <c r="AI16" s="18">
        <v>31</v>
      </c>
      <c r="AJ16" s="18">
        <v>31</v>
      </c>
      <c r="AK16" s="17">
        <v>6134.5199999999995</v>
      </c>
      <c r="AL16" s="20">
        <v>6134.5199999999995</v>
      </c>
      <c r="AM16" s="18">
        <v>49</v>
      </c>
      <c r="AN16" s="18">
        <v>49</v>
      </c>
      <c r="AO16" s="21">
        <v>1327.3853333333336</v>
      </c>
      <c r="AP16" s="21">
        <v>1455.8039999999996</v>
      </c>
      <c r="AQ16" s="22">
        <v>1455.8039999999996</v>
      </c>
      <c r="AR16" s="23">
        <v>0.3333333333333333</v>
      </c>
      <c r="AS16" s="18">
        <v>34</v>
      </c>
      <c r="AT16" s="24">
        <v>34</v>
      </c>
      <c r="AU16" s="17">
        <v>129008.22166666665</v>
      </c>
      <c r="AV16" s="17">
        <f>D16+Z16</f>
        <v>156635.49686249724</v>
      </c>
      <c r="AW16" s="21">
        <f>U16+AQ16</f>
        <v>3088.16076905702</v>
      </c>
      <c r="AX16" s="24">
        <v>115</v>
      </c>
      <c r="AY16" s="18">
        <f>ROUND(F16*0.9, 0)</f>
        <v>86</v>
      </c>
    </row>
    <row r="17">
      <c r="A17" s="2" t="str">
        <v>302</v>
      </c>
      <c r="B17" s="2" t="str">
        <v>UALISON NASCIMENTO DA SILVA</v>
      </c>
      <c r="C17" s="17">
        <v>112908.23313576455</v>
      </c>
      <c r="D17" s="17">
        <f>H17+L17+P17</f>
        <v>112908.23313576455</v>
      </c>
      <c r="E17" s="18">
        <v>83</v>
      </c>
      <c r="F17" s="24">
        <v>83</v>
      </c>
      <c r="G17" s="17">
        <v>47205.9589801343</v>
      </c>
      <c r="H17" s="20">
        <v>47205.9589801343</v>
      </c>
      <c r="I17" s="18">
        <v>83</v>
      </c>
      <c r="J17" s="18">
        <v>83</v>
      </c>
      <c r="K17" s="17">
        <v>60100.81806198873</v>
      </c>
      <c r="L17" s="20">
        <v>60100.81806198873</v>
      </c>
      <c r="M17" s="18">
        <v>83</v>
      </c>
      <c r="N17" s="18">
        <v>83</v>
      </c>
      <c r="O17" s="17">
        <v>5601.456093641518</v>
      </c>
      <c r="P17" s="20">
        <v>5601.456093641518</v>
      </c>
      <c r="Q17" s="18">
        <v>83</v>
      </c>
      <c r="R17" s="18">
        <v>83</v>
      </c>
      <c r="S17" s="21">
        <v>1089.8513333333333</v>
      </c>
      <c r="T17" s="21">
        <v>1352.1644559287938</v>
      </c>
      <c r="U17" s="22">
        <v>1352.1644559287938</v>
      </c>
      <c r="V17" s="23">
        <v>77</v>
      </c>
      <c r="W17" s="18">
        <v>82</v>
      </c>
      <c r="X17" s="24">
        <v>82</v>
      </c>
      <c r="Y17" s="17">
        <v>18334.690000000002</v>
      </c>
      <c r="Z17" s="17">
        <f>AD17+AH17+AL17</f>
        <v>18334.690000000002</v>
      </c>
      <c r="AA17" s="18">
        <v>79</v>
      </c>
      <c r="AB17" s="24">
        <v>79</v>
      </c>
      <c r="AC17" s="17">
        <v>7730.740000000001</v>
      </c>
      <c r="AD17" s="20">
        <v>7730.740000000001</v>
      </c>
      <c r="AE17" s="18">
        <v>70</v>
      </c>
      <c r="AF17" s="18">
        <v>70</v>
      </c>
      <c r="AG17" s="17">
        <v>3715.7600000000007</v>
      </c>
      <c r="AH17" s="20">
        <v>3715.7600000000007</v>
      </c>
      <c r="AI17" s="18">
        <v>39</v>
      </c>
      <c r="AJ17" s="18">
        <v>39</v>
      </c>
      <c r="AK17" s="17">
        <v>6888.19</v>
      </c>
      <c r="AL17" s="20">
        <v>6888.19</v>
      </c>
      <c r="AM17" s="18">
        <v>49</v>
      </c>
      <c r="AN17" s="18">
        <v>49</v>
      </c>
      <c r="AO17" s="21">
        <v>1104.3140000000003</v>
      </c>
      <c r="AP17" s="21">
        <v>1170.09</v>
      </c>
      <c r="AQ17" s="22">
        <v>1170.09</v>
      </c>
      <c r="AR17" s="23">
        <v>12.666666666666666</v>
      </c>
      <c r="AS17" s="18">
        <v>29</v>
      </c>
      <c r="AT17" s="24">
        <v>29</v>
      </c>
      <c r="AU17" s="17">
        <v>109876.23266666666</v>
      </c>
      <c r="AV17" s="17">
        <f>D17+Z17</f>
        <v>131242.92313576455</v>
      </c>
      <c r="AW17" s="21">
        <f>U17+AQ17</f>
        <v>2522.2544559287935</v>
      </c>
      <c r="AX17" s="24">
        <v>99</v>
      </c>
      <c r="AY17" s="18">
        <f>ROUND(F17*0.9, 0)</f>
        <v>75</v>
      </c>
    </row>
    <row r="18">
      <c r="A18" s="2" t="str">
        <v>284</v>
      </c>
      <c r="B18" s="2" t="str">
        <v>ILMARA BARROS SAMPAIO</v>
      </c>
      <c r="C18" s="17">
        <v>103906.54293356232</v>
      </c>
      <c r="D18" s="17">
        <f>H18+L18+P18</f>
        <v>103906.54293356232</v>
      </c>
      <c r="E18" s="18">
        <v>95</v>
      </c>
      <c r="F18" s="24">
        <v>95</v>
      </c>
      <c r="G18" s="17">
        <v>38568.87313141076</v>
      </c>
      <c r="H18" s="20">
        <v>38568.87313141076</v>
      </c>
      <c r="I18" s="18">
        <v>91</v>
      </c>
      <c r="J18" s="18">
        <v>91</v>
      </c>
      <c r="K18" s="17">
        <v>59306.038417143805</v>
      </c>
      <c r="L18" s="20">
        <v>59306.038417143805</v>
      </c>
      <c r="M18" s="18">
        <v>95</v>
      </c>
      <c r="N18" s="18">
        <v>95</v>
      </c>
      <c r="O18" s="17">
        <v>6031.631385007754</v>
      </c>
      <c r="P18" s="20">
        <v>6031.631385007754</v>
      </c>
      <c r="Q18" s="18">
        <v>91</v>
      </c>
      <c r="R18" s="18">
        <v>91</v>
      </c>
      <c r="S18" s="21">
        <v>1202.5716666666665</v>
      </c>
      <c r="T18" s="21">
        <v>1489.9647386923161</v>
      </c>
      <c r="U18" s="22">
        <v>1489.9647386923161</v>
      </c>
      <c r="V18" s="23">
        <v>74</v>
      </c>
      <c r="W18" s="18">
        <v>81</v>
      </c>
      <c r="X18" s="24">
        <v>81</v>
      </c>
      <c r="Y18" s="17">
        <v>17014.760000000002</v>
      </c>
      <c r="Z18" s="17">
        <f>AD18+AH18+AL18</f>
        <v>17014.760000000002</v>
      </c>
      <c r="AA18" s="18">
        <v>78</v>
      </c>
      <c r="AB18" s="24">
        <v>78</v>
      </c>
      <c r="AC18" s="17">
        <v>10737.92</v>
      </c>
      <c r="AD18" s="20">
        <v>10737.92</v>
      </c>
      <c r="AE18" s="18">
        <v>71</v>
      </c>
      <c r="AF18" s="18">
        <v>71</v>
      </c>
      <c r="AG18" s="17">
        <v>3943.28</v>
      </c>
      <c r="AH18" s="20">
        <v>3943.28</v>
      </c>
      <c r="AI18" s="18">
        <v>37</v>
      </c>
      <c r="AJ18" s="18">
        <v>37</v>
      </c>
      <c r="AK18" s="17">
        <v>2333.56</v>
      </c>
      <c r="AL18" s="20">
        <v>2333.56</v>
      </c>
      <c r="AM18" s="18">
        <v>44</v>
      </c>
      <c r="AN18" s="18">
        <v>44</v>
      </c>
      <c r="AO18" s="21">
        <v>1358.1733333333332</v>
      </c>
      <c r="AP18" s="21">
        <v>1334.06</v>
      </c>
      <c r="AQ18" s="22">
        <v>1334.06</v>
      </c>
      <c r="AR18" s="23">
        <v>9</v>
      </c>
      <c r="AS18" s="18">
        <v>34</v>
      </c>
      <c r="AT18" s="24">
        <v>34</v>
      </c>
      <c r="AU18" s="17">
        <v>101623.90533333336</v>
      </c>
      <c r="AV18" s="17">
        <f>D18+Z18</f>
        <v>120921.30293356231</v>
      </c>
      <c r="AW18" s="21">
        <f>U18+AQ18</f>
        <v>2824.024738692316</v>
      </c>
      <c r="AX18" s="24">
        <v>112</v>
      </c>
      <c r="AY18" s="18">
        <f>ROUND(F18*0.9, 0)</f>
        <v>86</v>
      </c>
    </row>
    <row r="19">
      <c r="A19" s="2" t="str">
        <v>295</v>
      </c>
      <c r="B19" s="2" t="str">
        <v>MARCOS ALVES DE HUNGRIA</v>
      </c>
      <c r="C19" s="17">
        <v>103670.35952639097</v>
      </c>
      <c r="D19" s="17">
        <f>H19+L19+P19</f>
        <v>103670.35952639097</v>
      </c>
      <c r="E19" s="18">
        <v>99</v>
      </c>
      <c r="F19" s="24">
        <v>99</v>
      </c>
      <c r="G19" s="17">
        <v>38655.33417606865</v>
      </c>
      <c r="H19" s="20">
        <v>38655.33417606865</v>
      </c>
      <c r="I19" s="18">
        <v>91</v>
      </c>
      <c r="J19" s="18">
        <v>91</v>
      </c>
      <c r="K19" s="17">
        <v>63516.21101355556</v>
      </c>
      <c r="L19" s="20">
        <v>63516.21101355556</v>
      </c>
      <c r="M19" s="18">
        <v>96</v>
      </c>
      <c r="N19" s="18">
        <v>96</v>
      </c>
      <c r="O19" s="17">
        <v>1498.8143367667485</v>
      </c>
      <c r="P19" s="20">
        <v>1498.8143367667485</v>
      </c>
      <c r="Q19" s="18">
        <v>81</v>
      </c>
      <c r="R19" s="18">
        <v>81</v>
      </c>
      <c r="S19" s="21">
        <v>990.9793333333332</v>
      </c>
      <c r="T19" s="21">
        <v>1244.132007164324</v>
      </c>
      <c r="U19" s="22">
        <v>1244.132007164324</v>
      </c>
      <c r="V19" s="23">
        <v>49.666666666666664</v>
      </c>
      <c r="W19" s="18">
        <v>54</v>
      </c>
      <c r="X19" s="24">
        <v>54</v>
      </c>
      <c r="Y19" s="17">
        <v>5486.51</v>
      </c>
      <c r="Z19" s="17">
        <f>AD19+AH19+AL19</f>
        <v>5486.51</v>
      </c>
      <c r="AA19" s="18">
        <v>51</v>
      </c>
      <c r="AB19" s="24">
        <v>51</v>
      </c>
      <c r="AC19" s="17">
        <v>3124.44</v>
      </c>
      <c r="AD19" s="20">
        <v>3124.44</v>
      </c>
      <c r="AE19" s="18">
        <v>45</v>
      </c>
      <c r="AF19" s="18">
        <v>45</v>
      </c>
      <c r="AG19" s="17">
        <v>486.28</v>
      </c>
      <c r="AH19" s="20">
        <v>486.28</v>
      </c>
      <c r="AI19" s="18">
        <v>25</v>
      </c>
      <c r="AJ19" s="18">
        <v>25</v>
      </c>
      <c r="AK19" s="17">
        <v>1875.79</v>
      </c>
      <c r="AL19" s="20">
        <v>1875.79</v>
      </c>
      <c r="AM19" s="18">
        <v>31</v>
      </c>
      <c r="AN19" s="18">
        <v>31</v>
      </c>
      <c r="AO19" s="21">
        <v>495.668</v>
      </c>
      <c r="AP19" s="21">
        <v>389.68</v>
      </c>
      <c r="AQ19" s="22">
        <v>389.68</v>
      </c>
      <c r="AR19" s="23">
        <v>8</v>
      </c>
      <c r="AS19" s="18">
        <v>35</v>
      </c>
      <c r="AT19" s="24">
        <v>35</v>
      </c>
      <c r="AU19" s="17">
        <v>91666.2866666667</v>
      </c>
      <c r="AV19" s="17">
        <f>D19+Z19</f>
        <v>109156.86952639096</v>
      </c>
      <c r="AW19" s="21">
        <f>U19+AQ19</f>
        <v>1633.812007164324</v>
      </c>
      <c r="AX19" s="24">
        <v>118</v>
      </c>
      <c r="AY19" s="18">
        <f>ROUND(F19*0.9, 0)</f>
        <v>89</v>
      </c>
    </row>
    <row r="20">
      <c r="A20" s="2" t="str">
        <v>292</v>
      </c>
      <c r="B20" s="2" t="str">
        <v>GEISA DA SILVA RODRIGUES</v>
      </c>
      <c r="C20" s="17">
        <v>99764.70746756559</v>
      </c>
      <c r="D20" s="17">
        <f>H20+L20+P20</f>
        <v>99764.70746756559</v>
      </c>
      <c r="E20" s="18">
        <v>84</v>
      </c>
      <c r="F20" s="24">
        <v>84</v>
      </c>
      <c r="G20" s="17">
        <v>39828.27234875677</v>
      </c>
      <c r="H20" s="20">
        <v>39828.27234875677</v>
      </c>
      <c r="I20" s="18">
        <v>79</v>
      </c>
      <c r="J20" s="18">
        <v>79</v>
      </c>
      <c r="K20" s="17">
        <v>56299.08781668452</v>
      </c>
      <c r="L20" s="20">
        <v>56299.08781668452</v>
      </c>
      <c r="M20" s="18">
        <v>81</v>
      </c>
      <c r="N20" s="18">
        <v>81</v>
      </c>
      <c r="O20" s="17">
        <v>3637.347302124294</v>
      </c>
      <c r="P20" s="20">
        <v>3637.347302124294</v>
      </c>
      <c r="Q20" s="18">
        <v>74</v>
      </c>
      <c r="R20" s="18">
        <v>74</v>
      </c>
      <c r="S20" s="21">
        <v>1016.0726666666665</v>
      </c>
      <c r="T20" s="21">
        <v>1266.3917879257215</v>
      </c>
      <c r="U20" s="22">
        <v>1266.3917879257215</v>
      </c>
      <c r="V20" s="23">
        <v>46</v>
      </c>
      <c r="W20" s="18">
        <v>50</v>
      </c>
      <c r="X20" s="24">
        <v>50</v>
      </c>
      <c r="Y20" s="17">
        <v>17868.5</v>
      </c>
      <c r="Z20" s="17">
        <f>AD20+AH20+AL20</f>
        <v>17868.5</v>
      </c>
      <c r="AA20" s="18">
        <v>55</v>
      </c>
      <c r="AB20" s="24">
        <v>55</v>
      </c>
      <c r="AC20" s="17">
        <v>9701.64</v>
      </c>
      <c r="AD20" s="20">
        <v>9701.64</v>
      </c>
      <c r="AE20" s="18">
        <v>45</v>
      </c>
      <c r="AF20" s="18">
        <v>45</v>
      </c>
      <c r="AG20" s="17">
        <v>6070.1</v>
      </c>
      <c r="AH20" s="20">
        <v>6070.1</v>
      </c>
      <c r="AI20" s="18">
        <v>34</v>
      </c>
      <c r="AJ20" s="18">
        <v>34</v>
      </c>
      <c r="AK20" s="17">
        <v>2096.76</v>
      </c>
      <c r="AL20" s="20">
        <v>2096.76</v>
      </c>
      <c r="AM20" s="18">
        <v>33</v>
      </c>
      <c r="AN20" s="18">
        <v>33</v>
      </c>
      <c r="AO20" s="21">
        <v>914.1400000000001</v>
      </c>
      <c r="AP20" s="21">
        <v>1264.28</v>
      </c>
      <c r="AQ20" s="22">
        <v>1264.28</v>
      </c>
      <c r="AR20" s="23">
        <v>4.333333333333333</v>
      </c>
      <c r="AS20" s="18">
        <v>30</v>
      </c>
      <c r="AT20" s="24">
        <v>30</v>
      </c>
      <c r="AU20" s="17">
        <v>95210.50000000003</v>
      </c>
      <c r="AV20" s="17">
        <f>D20+Z20</f>
        <v>117633.20746756559</v>
      </c>
      <c r="AW20" s="21">
        <f>U20+AQ20</f>
        <v>2530.671787925721</v>
      </c>
      <c r="AX20" s="24">
        <v>100</v>
      </c>
      <c r="AY20" s="18">
        <f>ROUND(F20*0.9, 0)</f>
        <v>76</v>
      </c>
    </row>
    <row r="21">
      <c r="A21" s="2" t="str">
        <v>282</v>
      </c>
      <c r="B21" s="2" t="str">
        <v>MATHEUS SOUZA MORAES DOS SANTOS</v>
      </c>
      <c r="C21" s="17">
        <v>95468.66007965493</v>
      </c>
      <c r="D21" s="17">
        <f>H21+L21+P21</f>
        <v>95468.66007965493</v>
      </c>
      <c r="E21" s="18">
        <v>86</v>
      </c>
      <c r="F21" s="24">
        <v>86</v>
      </c>
      <c r="G21" s="17">
        <v>43214.14669161941</v>
      </c>
      <c r="H21" s="20">
        <v>43214.14669161941</v>
      </c>
      <c r="I21" s="18">
        <v>85</v>
      </c>
      <c r="J21" s="18">
        <v>85</v>
      </c>
      <c r="K21" s="17">
        <v>47839.678651340946</v>
      </c>
      <c r="L21" s="20">
        <v>47839.678651340946</v>
      </c>
      <c r="M21" s="18">
        <v>86</v>
      </c>
      <c r="N21" s="18">
        <v>86</v>
      </c>
      <c r="O21" s="17">
        <v>4414.834736694566</v>
      </c>
      <c r="P21" s="20">
        <v>4414.834736694566</v>
      </c>
      <c r="Q21" s="18">
        <v>81</v>
      </c>
      <c r="R21" s="18">
        <v>81</v>
      </c>
      <c r="S21" s="21">
        <v>902.294333333333</v>
      </c>
      <c r="T21" s="21">
        <v>1122.4163690609385</v>
      </c>
      <c r="U21" s="22">
        <v>1122.4163690609385</v>
      </c>
      <c r="V21" s="23">
        <v>64.66666666666667</v>
      </c>
      <c r="W21" s="18">
        <v>70</v>
      </c>
      <c r="X21" s="24">
        <v>70</v>
      </c>
      <c r="Y21" s="17">
        <v>12934.61</v>
      </c>
      <c r="Z21" s="17">
        <f>AD21+AH21+AL21</f>
        <v>12934.61</v>
      </c>
      <c r="AA21" s="18">
        <v>54</v>
      </c>
      <c r="AB21" s="24">
        <v>54</v>
      </c>
      <c r="AC21" s="17">
        <v>3606.120000000001</v>
      </c>
      <c r="AD21" s="20">
        <v>3606.120000000001</v>
      </c>
      <c r="AE21" s="18">
        <v>46</v>
      </c>
      <c r="AF21" s="18">
        <v>46</v>
      </c>
      <c r="AG21" s="17">
        <v>2093.76</v>
      </c>
      <c r="AH21" s="20">
        <v>2093.76</v>
      </c>
      <c r="AI21" s="18">
        <v>22</v>
      </c>
      <c r="AJ21" s="18">
        <v>22</v>
      </c>
      <c r="AK21" s="17">
        <v>7234.7300000000005</v>
      </c>
      <c r="AL21" s="20">
        <v>7234.7300000000005</v>
      </c>
      <c r="AM21" s="18">
        <v>41</v>
      </c>
      <c r="AN21" s="18">
        <v>41</v>
      </c>
      <c r="AO21" s="21">
        <v>909.7000000000002</v>
      </c>
      <c r="AP21" s="21">
        <v>718.94</v>
      </c>
      <c r="AQ21" s="22">
        <v>718.94</v>
      </c>
      <c r="AR21" s="23">
        <v>12</v>
      </c>
      <c r="AS21" s="18">
        <v>31</v>
      </c>
      <c r="AT21" s="24">
        <v>31</v>
      </c>
      <c r="AU21" s="17">
        <v>93195.20000000001</v>
      </c>
      <c r="AV21" s="17">
        <f>D21+Z21</f>
        <v>108403.27007965493</v>
      </c>
      <c r="AW21" s="21">
        <f>U21+AQ21</f>
        <v>1841.3563690609385</v>
      </c>
      <c r="AX21" s="24">
        <v>102</v>
      </c>
      <c r="AY21" s="18">
        <f>ROUND(F21*0.9, 0)</f>
        <v>77</v>
      </c>
    </row>
    <row r="22">
      <c r="A22" s="2" t="str">
        <v>287</v>
      </c>
      <c r="B22" s="2" t="str">
        <v>RANIERE NEVES MELO</v>
      </c>
      <c r="C22" s="17">
        <v>64406.39824131234</v>
      </c>
      <c r="D22" s="17">
        <f>H22+L22+P22</f>
        <v>64406.39824131234</v>
      </c>
      <c r="E22" s="18">
        <v>87</v>
      </c>
      <c r="F22" s="24">
        <v>87</v>
      </c>
      <c r="G22" s="17">
        <v>24564.823391006354</v>
      </c>
      <c r="H22" s="20">
        <v>24564.823391006354</v>
      </c>
      <c r="I22" s="18">
        <v>85</v>
      </c>
      <c r="J22" s="18">
        <v>85</v>
      </c>
      <c r="K22" s="17">
        <v>38670.8205761745</v>
      </c>
      <c r="L22" s="20">
        <v>38670.8205761745</v>
      </c>
      <c r="M22" s="18">
        <v>87</v>
      </c>
      <c r="N22" s="18">
        <v>87</v>
      </c>
      <c r="O22" s="17">
        <v>1170.754274131493</v>
      </c>
      <c r="P22" s="20">
        <v>1170.754274131493</v>
      </c>
      <c r="Q22" s="18">
        <v>49</v>
      </c>
      <c r="R22" s="18">
        <v>49</v>
      </c>
      <c r="S22" s="21">
        <v>595.1140000000003</v>
      </c>
      <c r="T22" s="21">
        <v>745.8034665031606</v>
      </c>
      <c r="U22" s="22">
        <v>745.8034665031606</v>
      </c>
      <c r="V22" s="23">
        <v>24</v>
      </c>
      <c r="W22" s="18">
        <v>27</v>
      </c>
      <c r="X22" s="24">
        <v>27</v>
      </c>
      <c r="Y22" s="17">
        <v>1671.44</v>
      </c>
      <c r="Z22" s="17">
        <f>AD22+AH22+AL22</f>
        <v>1671.44</v>
      </c>
      <c r="AA22" s="18">
        <v>27</v>
      </c>
      <c r="AB22" s="24">
        <v>27</v>
      </c>
      <c r="AC22" s="17">
        <v>1522.8</v>
      </c>
      <c r="AD22" s="20">
        <v>1522.8</v>
      </c>
      <c r="AE22" s="18">
        <v>18</v>
      </c>
      <c r="AF22" s="18">
        <v>18</v>
      </c>
      <c r="AG22" s="17">
        <v>28.88</v>
      </c>
      <c r="AH22" s="20">
        <v>28.88</v>
      </c>
      <c r="AI22" s="18">
        <v>3</v>
      </c>
      <c r="AJ22" s="18">
        <v>3</v>
      </c>
      <c r="AK22" s="17">
        <v>119.75999999999996</v>
      </c>
      <c r="AL22" s="20">
        <v>119.75999999999996</v>
      </c>
      <c r="AM22" s="18">
        <v>12</v>
      </c>
      <c r="AN22" s="18">
        <v>12</v>
      </c>
      <c r="AO22" s="21">
        <v>206.72666666666666</v>
      </c>
      <c r="AP22" s="21">
        <v>141.32000000000002</v>
      </c>
      <c r="AQ22" s="22">
        <v>141.32000000000002</v>
      </c>
      <c r="AR22" s="23">
        <v>0</v>
      </c>
      <c r="AS22" s="18">
        <v>31</v>
      </c>
      <c r="AT22" s="24">
        <v>31</v>
      </c>
      <c r="AU22" s="17">
        <v>55352.34666666668</v>
      </c>
      <c r="AV22" s="17">
        <f>D22+Z22</f>
        <v>66077.83824131233</v>
      </c>
      <c r="AW22" s="21">
        <f>U22+AQ22</f>
        <v>887.1234665031607</v>
      </c>
      <c r="AX22" s="24">
        <v>103</v>
      </c>
      <c r="AY22" s="18">
        <f>ROUND(F22*0.9, 0)</f>
        <v>78</v>
      </c>
    </row>
    <row r="23">
      <c r="A23" s="2" t="str">
        <v>289</v>
      </c>
      <c r="B23" s="2" t="str">
        <v>JOSUÉ ALMEIDA BARRETO NETO</v>
      </c>
      <c r="C23" s="17">
        <v>62587.69116322187</v>
      </c>
      <c r="D23" s="17">
        <f>H23+L23+P23</f>
        <v>62587.69116322187</v>
      </c>
      <c r="E23" s="18">
        <v>60</v>
      </c>
      <c r="F23" s="24">
        <v>60</v>
      </c>
      <c r="G23" s="17">
        <v>29017.37244014037</v>
      </c>
      <c r="H23" s="20">
        <v>29017.37244014037</v>
      </c>
      <c r="I23" s="18">
        <v>58</v>
      </c>
      <c r="J23" s="18">
        <v>58</v>
      </c>
      <c r="K23" s="17">
        <v>31992.656686088227</v>
      </c>
      <c r="L23" s="20">
        <v>31992.656686088227</v>
      </c>
      <c r="M23" s="18">
        <v>60</v>
      </c>
      <c r="N23" s="18">
        <v>60</v>
      </c>
      <c r="O23" s="17">
        <v>1577.6620369932689</v>
      </c>
      <c r="P23" s="20">
        <v>1577.6620369932689</v>
      </c>
      <c r="Q23" s="18">
        <v>57</v>
      </c>
      <c r="R23" s="18">
        <v>57</v>
      </c>
      <c r="S23" s="21">
        <v>605.8453333333332</v>
      </c>
      <c r="T23" s="21">
        <v>759.0442448428034</v>
      </c>
      <c r="U23" s="22">
        <v>759.0442448428034</v>
      </c>
      <c r="V23" s="23">
        <v>39.666666666666664</v>
      </c>
      <c r="W23" s="18">
        <v>43</v>
      </c>
      <c r="X23" s="24">
        <v>43</v>
      </c>
      <c r="Y23" s="17">
        <v>9635.539999999999</v>
      </c>
      <c r="Z23" s="17">
        <f>AD23+AH23+AL23</f>
        <v>9635.539999999999</v>
      </c>
      <c r="AA23" s="18">
        <v>45</v>
      </c>
      <c r="AB23" s="24">
        <v>45</v>
      </c>
      <c r="AC23" s="17">
        <v>5833.619999999999</v>
      </c>
      <c r="AD23" s="20">
        <v>5833.619999999999</v>
      </c>
      <c r="AE23" s="18">
        <v>41</v>
      </c>
      <c r="AF23" s="18">
        <v>41</v>
      </c>
      <c r="AG23" s="17">
        <v>2732.5599999999995</v>
      </c>
      <c r="AH23" s="20">
        <v>2732.5599999999995</v>
      </c>
      <c r="AI23" s="18">
        <v>18</v>
      </c>
      <c r="AJ23" s="18">
        <v>18</v>
      </c>
      <c r="AK23" s="17">
        <v>1069.36</v>
      </c>
      <c r="AL23" s="20">
        <v>1069.36</v>
      </c>
      <c r="AM23" s="18">
        <v>21</v>
      </c>
      <c r="AN23" s="18">
        <v>21</v>
      </c>
      <c r="AO23" s="21">
        <v>722.34</v>
      </c>
      <c r="AP23" s="21">
        <v>703.7600000000001</v>
      </c>
      <c r="AQ23" s="22">
        <v>703.7600000000001</v>
      </c>
      <c r="AR23" s="23">
        <v>2</v>
      </c>
      <c r="AS23" s="18">
        <v>21</v>
      </c>
      <c r="AT23" s="24">
        <v>21</v>
      </c>
      <c r="AU23" s="17">
        <v>60444.157333333336</v>
      </c>
      <c r="AV23" s="17">
        <f>D23+Z23</f>
        <v>72223.23116322186</v>
      </c>
      <c r="AW23" s="21">
        <f>U23+AQ23</f>
        <v>1462.8042448428037</v>
      </c>
      <c r="AX23" s="24">
        <v>69</v>
      </c>
      <c r="AY23" s="18">
        <f>ROUND(F23*0.9, 0)</f>
        <v>54</v>
      </c>
    </row>
    <row r="24">
      <c r="A24" s="2" t="str">
        <v>291</v>
      </c>
      <c r="B24" s="2" t="str">
        <v>ALINE SANTOS SOARES</v>
      </c>
      <c r="C24" s="17">
        <v>54827.93781310162</v>
      </c>
      <c r="D24" s="17">
        <f>H24+L24+P24</f>
        <v>54827.93781310162</v>
      </c>
      <c r="E24" s="18">
        <v>72</v>
      </c>
      <c r="F24" s="24">
        <v>72</v>
      </c>
      <c r="G24" s="17">
        <v>20254.761447338224</v>
      </c>
      <c r="H24" s="20">
        <v>20254.761447338224</v>
      </c>
      <c r="I24" s="18">
        <v>69</v>
      </c>
      <c r="J24" s="18">
        <v>69</v>
      </c>
      <c r="K24" s="17">
        <v>31762.85240769922</v>
      </c>
      <c r="L24" s="20">
        <v>31762.85240769922</v>
      </c>
      <c r="M24" s="18">
        <v>72</v>
      </c>
      <c r="N24" s="18">
        <v>72</v>
      </c>
      <c r="O24" s="17">
        <v>2810.323958064176</v>
      </c>
      <c r="P24" s="20">
        <v>2810.323958064176</v>
      </c>
      <c r="Q24" s="18">
        <v>59</v>
      </c>
      <c r="R24" s="18">
        <v>59</v>
      </c>
      <c r="S24" s="21">
        <v>526.8219999999999</v>
      </c>
      <c r="T24" s="21">
        <v>652.7572378799255</v>
      </c>
      <c r="U24" s="22">
        <v>652.7572378799255</v>
      </c>
      <c r="V24" s="23">
        <v>37.666666666666664</v>
      </c>
      <c r="W24" s="18">
        <v>42</v>
      </c>
      <c r="X24" s="24">
        <v>42</v>
      </c>
      <c r="Y24" s="17">
        <v>3325.4799999999996</v>
      </c>
      <c r="Z24" s="17">
        <f>AD24+AH24+AL24</f>
        <v>3325.4799999999996</v>
      </c>
      <c r="AA24" s="18">
        <v>52</v>
      </c>
      <c r="AB24" s="24">
        <v>52</v>
      </c>
      <c r="AC24" s="17">
        <v>2265.8399999999997</v>
      </c>
      <c r="AD24" s="20">
        <v>2265.8399999999997</v>
      </c>
      <c r="AE24" s="18">
        <v>40</v>
      </c>
      <c r="AF24" s="18">
        <v>40</v>
      </c>
      <c r="AG24" s="17">
        <v>519.88</v>
      </c>
      <c r="AH24" s="20">
        <v>519.88</v>
      </c>
      <c r="AI24" s="18">
        <v>24</v>
      </c>
      <c r="AJ24" s="18">
        <v>24</v>
      </c>
      <c r="AK24" s="17">
        <v>539.76</v>
      </c>
      <c r="AL24" s="20">
        <v>539.76</v>
      </c>
      <c r="AM24" s="18">
        <v>34</v>
      </c>
      <c r="AN24" s="18">
        <v>34</v>
      </c>
      <c r="AO24" s="21">
        <v>419.56666666666655</v>
      </c>
      <c r="AP24" s="21">
        <v>256.1</v>
      </c>
      <c r="AQ24" s="22">
        <v>256.1</v>
      </c>
      <c r="AR24" s="23">
        <v>5.333333333333333</v>
      </c>
      <c r="AS24" s="18">
        <v>26</v>
      </c>
      <c r="AT24" s="24">
        <v>26</v>
      </c>
      <c r="AU24" s="17">
        <v>50693.52333333332</v>
      </c>
      <c r="AV24" s="17">
        <f>D24+Z24</f>
        <v>58153.41781310162</v>
      </c>
      <c r="AW24" s="21">
        <f>U24+AQ24</f>
        <v>908.8572378799255</v>
      </c>
      <c r="AX24" s="24">
        <v>86</v>
      </c>
      <c r="AY24" s="18">
        <f>ROUND(F24*0.9, 0)</f>
        <v>65</v>
      </c>
    </row>
    <row r="25">
      <c r="A25" s="2" t="str">
        <v>190</v>
      </c>
      <c r="B25" s="2" t="str">
        <v>TIAGO JOSÉ DE SOUZA GOMES</v>
      </c>
      <c r="C25" s="17">
        <v>19581.944529658973</v>
      </c>
      <c r="D25" s="17">
        <f>H25+L25+P25</f>
        <v>19581.944529658973</v>
      </c>
      <c r="E25" s="18">
        <v>3</v>
      </c>
      <c r="F25" s="24">
        <v>3</v>
      </c>
      <c r="G25" s="17">
        <v>4059.3224279804863</v>
      </c>
      <c r="H25" s="20">
        <v>4059.3224279804863</v>
      </c>
      <c r="I25" s="18">
        <v>3</v>
      </c>
      <c r="J25" s="18">
        <v>3</v>
      </c>
      <c r="K25" s="17">
        <v>15514.298954109674</v>
      </c>
      <c r="L25" s="20">
        <v>15514.298954109674</v>
      </c>
      <c r="M25" s="18">
        <v>3</v>
      </c>
      <c r="N25" s="18">
        <v>3</v>
      </c>
      <c r="O25" s="17">
        <v>8.323147568810153</v>
      </c>
      <c r="P25" s="20">
        <v>8.323147568810153</v>
      </c>
      <c r="Q25" s="18">
        <v>1</v>
      </c>
      <c r="R25" s="18">
        <v>1</v>
      </c>
      <c r="S25" s="21">
        <v>205.56333333333333</v>
      </c>
      <c r="T25" s="21">
        <v>258.37291683896507</v>
      </c>
      <c r="U25" s="22">
        <v>258.37291683896507</v>
      </c>
      <c r="V25" s="23">
        <v>0.5</v>
      </c>
      <c r="W25" s="18">
        <v>0</v>
      </c>
      <c r="X25" s="24">
        <v>0</v>
      </c>
      <c r="Y25" s="17">
        <v>0</v>
      </c>
      <c r="Z25" s="17">
        <f>AD25+AH25+AL25</f>
        <v>0</v>
      </c>
      <c r="AA25" s="18">
        <v>2</v>
      </c>
      <c r="AB25" s="24">
        <v>2</v>
      </c>
      <c r="AC25" s="17">
        <v>0</v>
      </c>
      <c r="AD25" s="20">
        <v>0</v>
      </c>
      <c r="AE25" s="18">
        <v>0</v>
      </c>
      <c r="AF25" s="18">
        <v>0</v>
      </c>
      <c r="AG25" s="17">
        <v>0</v>
      </c>
      <c r="AH25" s="20">
        <v>0</v>
      </c>
      <c r="AI25" s="18">
        <v>2</v>
      </c>
      <c r="AJ25" s="18">
        <v>2</v>
      </c>
      <c r="AK25" s="17">
        <v>0</v>
      </c>
      <c r="AL25" s="20">
        <v>0</v>
      </c>
      <c r="AM25" s="18">
        <v>2</v>
      </c>
      <c r="AN25" s="18">
        <v>2</v>
      </c>
      <c r="AO25" s="21">
        <v>20.673333333333332</v>
      </c>
      <c r="AP25" s="21">
        <v>0</v>
      </c>
      <c r="AQ25" s="22">
        <v>0</v>
      </c>
      <c r="AR25" s="23">
        <v>0</v>
      </c>
      <c r="AS25" s="18">
        <v>1</v>
      </c>
      <c r="AT25" s="24">
        <v>1</v>
      </c>
      <c r="AU25" s="17">
        <v>16297.253333333334</v>
      </c>
      <c r="AV25" s="17">
        <f>D25+Z25</f>
        <v>19581.944529658973</v>
      </c>
      <c r="AW25" s="21">
        <f>U25+AQ25</f>
        <v>258.37291683896507</v>
      </c>
      <c r="AX25" s="24">
        <v>4</v>
      </c>
      <c r="AY25" s="18">
        <f>ROUND(F25*0.9, 0)</f>
        <v>3</v>
      </c>
    </row>
    <row r="26">
      <c r="A26" s="26" t="str">
        <v>12</v>
      </c>
      <c r="B26" s="26" t="str">
        <v>TIAGO JOSÉ DE S</v>
      </c>
      <c r="C26" s="27">
        <f>SUM(C15:C25)</f>
        <v>0</v>
      </c>
      <c r="D26" s="27">
        <f>SUM(D15:D25)</f>
        <v>0</v>
      </c>
      <c r="E26" s="28">
        <f>SUM(E15:E25)</f>
        <v>0</v>
      </c>
      <c r="F26" s="28">
        <f>SUM(F15:F25)</f>
        <v>0</v>
      </c>
      <c r="G26" s="27">
        <f>SUM(G15:G25)</f>
        <v>0</v>
      </c>
      <c r="H26" s="27">
        <f>SUM(H15:H25)</f>
        <v>0</v>
      </c>
      <c r="I26" s="28">
        <f>SUM(I15:I25)</f>
        <v>0</v>
      </c>
      <c r="J26" s="28">
        <f>SUM(J15:J25)</f>
        <v>0</v>
      </c>
      <c r="K26" s="27">
        <f>SUM(K15:K25)</f>
        <v>0</v>
      </c>
      <c r="L26" s="27">
        <f>SUM(L15:L25)</f>
        <v>0</v>
      </c>
      <c r="M26" s="28">
        <f>SUM(M15:M25)</f>
        <v>0</v>
      </c>
      <c r="N26" s="28">
        <f>SUM(N15:N25)</f>
        <v>0</v>
      </c>
      <c r="O26" s="27">
        <f>SUM(O15:O25)</f>
        <v>0</v>
      </c>
      <c r="P26" s="27">
        <f>SUM(P15:P25)</f>
        <v>0</v>
      </c>
      <c r="Q26" s="28">
        <f>SUM(Q15:Q25)</f>
        <v>0</v>
      </c>
      <c r="R26" s="28">
        <f>SUM(R15:R25)</f>
        <v>0</v>
      </c>
      <c r="S26" s="29">
        <f>SUM(S15:S25)</f>
        <v>0</v>
      </c>
      <c r="T26" s="29">
        <f>SUM(T15:T25)</f>
        <v>0</v>
      </c>
      <c r="U26" s="29">
        <f>SUM(U15:U25)</f>
        <v>0</v>
      </c>
      <c r="V26" s="30">
        <f>SUM(V15:V25)</f>
        <v>0</v>
      </c>
      <c r="W26" s="28">
        <f>SUM(W15:W25)</f>
        <v>0</v>
      </c>
      <c r="X26" s="28">
        <f>SUM(X15:X25)</f>
        <v>0</v>
      </c>
      <c r="Y26" s="27">
        <f>SUM(Y15:Y25)</f>
        <v>0</v>
      </c>
      <c r="Z26" s="27">
        <f>SUM(Z15:Z25)</f>
        <v>0</v>
      </c>
      <c r="AA26" s="28">
        <f>SUM(AA15:AA25)</f>
        <v>0</v>
      </c>
      <c r="AB26" s="28">
        <f>SUM(AB15:AB25)</f>
        <v>0</v>
      </c>
      <c r="AC26" s="27">
        <f>SUM(AC15:AC25)</f>
        <v>0</v>
      </c>
      <c r="AD26" s="27">
        <f>SUM(AD15:AD25)</f>
        <v>0</v>
      </c>
      <c r="AE26" s="28">
        <f>SUM(AE15:AE25)</f>
        <v>0</v>
      </c>
      <c r="AF26" s="28">
        <f>SUM(AF15:AF25)</f>
        <v>0</v>
      </c>
      <c r="AG26" s="27">
        <f>SUM(AG15:AG25)</f>
        <v>0</v>
      </c>
      <c r="AH26" s="27">
        <f>SUM(AH15:AH25)</f>
        <v>0</v>
      </c>
      <c r="AI26" s="28">
        <f>SUM(AI15:AI25)</f>
        <v>0</v>
      </c>
      <c r="AJ26" s="28">
        <f>SUM(AJ15:AJ25)</f>
        <v>0</v>
      </c>
      <c r="AK26" s="27">
        <f>SUM(AK15:AK25)</f>
        <v>0</v>
      </c>
      <c r="AL26" s="27">
        <f>SUM(AL15:AL25)</f>
        <v>0</v>
      </c>
      <c r="AM26" s="28">
        <f>SUM(AM15:AM25)</f>
        <v>0</v>
      </c>
      <c r="AN26" s="28">
        <f>SUM(AN15:AN25)</f>
        <v>0</v>
      </c>
      <c r="AO26" s="29">
        <f>SUM(AO15:AO25)</f>
        <v>0</v>
      </c>
      <c r="AP26" s="29">
        <f>SUM(AP15:AP25)</f>
        <v>0</v>
      </c>
      <c r="AQ26" s="29">
        <f>SUM(AQ15:AQ25)</f>
        <v>0</v>
      </c>
      <c r="AR26" s="30">
        <f>SUM(AR15:AR25)</f>
        <v>0</v>
      </c>
      <c r="AS26" s="28">
        <f>SUM(AS15:AS25)</f>
        <v>0</v>
      </c>
      <c r="AT26" s="28">
        <f>SUM(AT15:AT25)</f>
        <v>0</v>
      </c>
      <c r="AU26" s="27">
        <f>SUM(AU15:AU25)</f>
        <v>0</v>
      </c>
      <c r="AV26" s="27">
        <f>SUM(AV15:AV25)</f>
        <v>0</v>
      </c>
      <c r="AW26" s="29">
        <f>SUM(AW15:AW25)</f>
        <v>0</v>
      </c>
      <c r="AX26" s="28">
        <f>SUM(AX15:AX25)</f>
        <v>0</v>
      </c>
      <c r="AY26" s="28">
        <f>ROUND(F26*0.9, 0)</f>
        <v>0</v>
      </c>
    </row>
    <row r="27">
      <c r="A27" s="2" t="str">
        <v>1001</v>
      </c>
      <c r="B27" s="2" t="str">
        <v>AMERICANAS</v>
      </c>
      <c r="C27" s="17">
        <v>519344.37999999995</v>
      </c>
      <c r="D27" s="17">
        <f>H27+L27+P27</f>
        <v>519344.37999999995</v>
      </c>
      <c r="E27" s="18">
        <v>26</v>
      </c>
      <c r="F27" s="24">
        <v>26</v>
      </c>
      <c r="G27" s="17">
        <v>169904.59</v>
      </c>
      <c r="H27" s="20">
        <v>169904.59</v>
      </c>
      <c r="I27" s="18">
        <v>26</v>
      </c>
      <c r="J27" s="18">
        <v>26</v>
      </c>
      <c r="K27" s="17">
        <v>304578.61</v>
      </c>
      <c r="L27" s="20">
        <v>304578.61</v>
      </c>
      <c r="M27" s="18">
        <v>26</v>
      </c>
      <c r="N27" s="18">
        <v>26</v>
      </c>
      <c r="O27" s="17">
        <v>44861.17999999999</v>
      </c>
      <c r="P27" s="20">
        <v>44861.17999999999</v>
      </c>
      <c r="Q27" s="18">
        <v>26</v>
      </c>
      <c r="R27" s="18">
        <v>26</v>
      </c>
      <c r="S27" s="21">
        <v>8263.611</v>
      </c>
      <c r="T27" s="21">
        <v>6683.918</v>
      </c>
      <c r="U27" s="22">
        <v>6683.918</v>
      </c>
      <c r="V27" s="23">
        <v>22.333333333333332</v>
      </c>
      <c r="W27" s="18">
        <v>0</v>
      </c>
      <c r="X27" s="24">
        <v>0</v>
      </c>
      <c r="Y27" s="17">
        <v>0</v>
      </c>
      <c r="Z27" s="17">
        <f>AD27+AH27+AL27</f>
        <v>0</v>
      </c>
      <c r="AA27" s="18">
        <v>0</v>
      </c>
      <c r="AB27" s="24">
        <v>0</v>
      </c>
      <c r="AC27" s="17">
        <v>0</v>
      </c>
      <c r="AD27" s="20">
        <v>0</v>
      </c>
      <c r="AE27" s="18">
        <v>0</v>
      </c>
      <c r="AF27" s="18">
        <v>0</v>
      </c>
      <c r="AG27" s="17">
        <v>0</v>
      </c>
      <c r="AH27" s="20">
        <v>0</v>
      </c>
      <c r="AI27" s="18">
        <v>0</v>
      </c>
      <c r="AJ27" s="18">
        <v>0</v>
      </c>
      <c r="AK27" s="17">
        <v>0</v>
      </c>
      <c r="AL27" s="20">
        <v>0</v>
      </c>
      <c r="AM27" s="18">
        <v>0</v>
      </c>
      <c r="AN27" s="18">
        <v>0</v>
      </c>
      <c r="AO27" s="21">
        <v>0</v>
      </c>
      <c r="AP27" s="21">
        <v>0</v>
      </c>
      <c r="AQ27" s="22">
        <v>0</v>
      </c>
      <c r="AR27" s="23">
        <v>0</v>
      </c>
      <c r="AS27" s="18">
        <v>0</v>
      </c>
      <c r="AT27" s="24">
        <v>0</v>
      </c>
      <c r="AU27" s="17">
        <v>632881.8766666667</v>
      </c>
      <c r="AV27" s="17">
        <f>D27+Z27</f>
        <v>519344.37999999995</v>
      </c>
      <c r="AW27" s="21">
        <f>U27+AQ27</f>
        <v>6683.918</v>
      </c>
      <c r="AX27" s="24">
        <v>26</v>
      </c>
      <c r="AY27" s="18">
        <f>ROUND(F27*0.9, 0)</f>
        <v>23</v>
      </c>
    </row>
    <row r="28">
      <c r="A28" s="26" t="str">
        <v>8</v>
      </c>
      <c r="B28" s="26" t="str">
        <v>BALCAO</v>
      </c>
      <c r="C28" s="27">
        <f>SUM(C27:C27)</f>
        <v>0</v>
      </c>
      <c r="D28" s="27">
        <f>SUM(D27:D27)</f>
        <v>0</v>
      </c>
      <c r="E28" s="28">
        <f>SUM(E27:E27)</f>
        <v>0</v>
      </c>
      <c r="F28" s="28">
        <f>SUM(F27:F27)</f>
        <v>0</v>
      </c>
      <c r="G28" s="27">
        <f>SUM(G27:G27)</f>
        <v>0</v>
      </c>
      <c r="H28" s="27">
        <f>SUM(H27:H27)</f>
        <v>0</v>
      </c>
      <c r="I28" s="28">
        <f>SUM(I27:I27)</f>
        <v>0</v>
      </c>
      <c r="J28" s="28">
        <f>SUM(J27:J27)</f>
        <v>0</v>
      </c>
      <c r="K28" s="27">
        <f>SUM(K27:K27)</f>
        <v>0</v>
      </c>
      <c r="L28" s="27">
        <f>SUM(L27:L27)</f>
        <v>0</v>
      </c>
      <c r="M28" s="28">
        <f>SUM(M27:M27)</f>
        <v>0</v>
      </c>
      <c r="N28" s="28">
        <f>SUM(N27:N27)</f>
        <v>0</v>
      </c>
      <c r="O28" s="27">
        <f>SUM(O27:O27)</f>
        <v>0</v>
      </c>
      <c r="P28" s="27">
        <f>SUM(P27:P27)</f>
        <v>0</v>
      </c>
      <c r="Q28" s="28">
        <f>SUM(Q27:Q27)</f>
        <v>0</v>
      </c>
      <c r="R28" s="28">
        <f>SUM(R27:R27)</f>
        <v>0</v>
      </c>
      <c r="S28" s="29">
        <f>SUM(S27:S27)</f>
        <v>0</v>
      </c>
      <c r="T28" s="29">
        <f>SUM(T27:T27)</f>
        <v>0</v>
      </c>
      <c r="U28" s="29">
        <f>SUM(U27:U27)</f>
        <v>0</v>
      </c>
      <c r="V28" s="30">
        <f>SUM(V27:V27)</f>
        <v>0</v>
      </c>
      <c r="W28" s="28">
        <f>SUM(W27:W27)</f>
        <v>0</v>
      </c>
      <c r="X28" s="28">
        <f>SUM(X27:X27)</f>
        <v>0</v>
      </c>
      <c r="Y28" s="27">
        <f>SUM(Y27:Y27)</f>
        <v>0</v>
      </c>
      <c r="Z28" s="27">
        <f>SUM(Z27:Z27)</f>
        <v>0</v>
      </c>
      <c r="AA28" s="28">
        <f>SUM(AA27:AA27)</f>
        <v>0</v>
      </c>
      <c r="AB28" s="28">
        <f>SUM(AB27:AB27)</f>
        <v>0</v>
      </c>
      <c r="AC28" s="27">
        <f>SUM(AC27:AC27)</f>
        <v>0</v>
      </c>
      <c r="AD28" s="27">
        <f>SUM(AD27:AD27)</f>
        <v>0</v>
      </c>
      <c r="AE28" s="28">
        <f>SUM(AE27:AE27)</f>
        <v>0</v>
      </c>
      <c r="AF28" s="28">
        <f>SUM(AF27:AF27)</f>
        <v>0</v>
      </c>
      <c r="AG28" s="27">
        <f>SUM(AG27:AG27)</f>
        <v>0</v>
      </c>
      <c r="AH28" s="27">
        <f>SUM(AH27:AH27)</f>
        <v>0</v>
      </c>
      <c r="AI28" s="28">
        <f>SUM(AI27:AI27)</f>
        <v>0</v>
      </c>
      <c r="AJ28" s="28">
        <f>SUM(AJ27:AJ27)</f>
        <v>0</v>
      </c>
      <c r="AK28" s="27">
        <f>SUM(AK27:AK27)</f>
        <v>0</v>
      </c>
      <c r="AL28" s="27">
        <f>SUM(AL27:AL27)</f>
        <v>0</v>
      </c>
      <c r="AM28" s="28">
        <f>SUM(AM27:AM27)</f>
        <v>0</v>
      </c>
      <c r="AN28" s="28">
        <f>SUM(AN27:AN27)</f>
        <v>0</v>
      </c>
      <c r="AO28" s="29">
        <f>SUM(AO27:AO27)</f>
        <v>0</v>
      </c>
      <c r="AP28" s="29">
        <f>SUM(AP27:AP27)</f>
        <v>0</v>
      </c>
      <c r="AQ28" s="29">
        <f>SUM(AQ27:AQ27)</f>
        <v>0</v>
      </c>
      <c r="AR28" s="30">
        <f>SUM(AR27:AR27)</f>
        <v>0</v>
      </c>
      <c r="AS28" s="28">
        <f>SUM(AS27:AS27)</f>
        <v>0</v>
      </c>
      <c r="AT28" s="28">
        <f>SUM(AT27:AT27)</f>
        <v>0</v>
      </c>
      <c r="AU28" s="27">
        <f>SUM(AU27:AU27)</f>
        <v>0</v>
      </c>
      <c r="AV28" s="27">
        <f>SUM(AV27:AV27)</f>
        <v>0</v>
      </c>
      <c r="AW28" s="29">
        <f>SUM(AW27:AW27)</f>
        <v>0</v>
      </c>
      <c r="AX28" s="28">
        <f>SUM(AX27:AX27)</f>
        <v>0</v>
      </c>
      <c r="AY28" s="28">
        <f>ROUND(F28*0.9, 0)</f>
        <v>0</v>
      </c>
    </row>
    <row r="29">
      <c r="A29" s="31" t="str">
        <v>GV</v>
      </c>
      <c r="B29" s="32" t="str">
        <v>GERAL PRIME</v>
      </c>
      <c r="C29" s="33">
        <f>C14+C26+C28</f>
        <v>0</v>
      </c>
      <c r="D29" s="33">
        <f>D14+D26+D28</f>
        <v>0</v>
      </c>
      <c r="E29" s="34">
        <f>E14+E26+E28</f>
        <v>0</v>
      </c>
      <c r="F29" s="34">
        <f>F14+F26+F28</f>
        <v>0</v>
      </c>
      <c r="G29" s="33">
        <f>G14+G26+G28</f>
        <v>0</v>
      </c>
      <c r="H29" s="33">
        <f>H14+H26+H28</f>
        <v>0</v>
      </c>
      <c r="I29" s="34">
        <f>I14+I26+I28</f>
        <v>0</v>
      </c>
      <c r="J29" s="34">
        <f>J14+J26+J28</f>
        <v>0</v>
      </c>
      <c r="K29" s="33">
        <f>K14+K26+K28</f>
        <v>0</v>
      </c>
      <c r="L29" s="33">
        <f>L14+L26+L28</f>
        <v>0</v>
      </c>
      <c r="M29" s="34">
        <f>M14+M26+M28</f>
        <v>0</v>
      </c>
      <c r="N29" s="34">
        <f>N14+N26+N28</f>
        <v>0</v>
      </c>
      <c r="O29" s="33">
        <f>O14+O26+O28</f>
        <v>0</v>
      </c>
      <c r="P29" s="33">
        <f>P14+P26+P28</f>
        <v>0</v>
      </c>
      <c r="Q29" s="34">
        <f>Q14+Q26+Q28</f>
        <v>0</v>
      </c>
      <c r="R29" s="34">
        <f>R14+R26+R28</f>
        <v>0</v>
      </c>
      <c r="S29" s="35">
        <f>S14+S26+S28</f>
        <v>0</v>
      </c>
      <c r="T29" s="35">
        <f>T14+T26+T28</f>
        <v>0</v>
      </c>
      <c r="U29" s="35">
        <f>U14+U26+U28</f>
        <v>0</v>
      </c>
      <c r="V29" s="36">
        <f>V14+V26+V28</f>
        <v>0</v>
      </c>
      <c r="W29" s="34">
        <f>W14+W26+W28</f>
        <v>0</v>
      </c>
      <c r="X29" s="34">
        <f>X14+X26+X28</f>
        <v>0</v>
      </c>
      <c r="Y29" s="33">
        <f>Y14+Y26+Y28</f>
        <v>0</v>
      </c>
      <c r="Z29" s="33">
        <f>Z14+Z26+Z28</f>
        <v>0</v>
      </c>
      <c r="AA29" s="34">
        <f>AA14+AA26+AA28</f>
        <v>0</v>
      </c>
      <c r="AB29" s="34">
        <f>AB14+AB26+AB28</f>
        <v>0</v>
      </c>
      <c r="AC29" s="33">
        <f>AC14+AC26+AC28</f>
        <v>0</v>
      </c>
      <c r="AD29" s="33">
        <f>AD14+AD26+AD28</f>
        <v>0</v>
      </c>
      <c r="AE29" s="34">
        <f>AE14+AE26+AE28</f>
        <v>0</v>
      </c>
      <c r="AF29" s="34">
        <f>AF14+AF26+AF28</f>
        <v>0</v>
      </c>
      <c r="AG29" s="33">
        <f>AG14+AG26+AG28</f>
        <v>0</v>
      </c>
      <c r="AH29" s="33">
        <f>AH14+AH26+AH28</f>
        <v>0</v>
      </c>
      <c r="AI29" s="34">
        <f>AI14+AI26+AI28</f>
        <v>0</v>
      </c>
      <c r="AJ29" s="34">
        <f>AJ14+AJ26+AJ28</f>
        <v>0</v>
      </c>
      <c r="AK29" s="33">
        <f>AK14+AK26+AK28</f>
        <v>0</v>
      </c>
      <c r="AL29" s="33">
        <f>AL14+AL26+AL28</f>
        <v>0</v>
      </c>
      <c r="AM29" s="34">
        <f>AM14+AM26+AM28</f>
        <v>0</v>
      </c>
      <c r="AN29" s="34">
        <f>AN14+AN26+AN28</f>
        <v>0</v>
      </c>
      <c r="AO29" s="35">
        <f>AO14+AO26+AO28</f>
        <v>0</v>
      </c>
      <c r="AP29" s="35">
        <f>AP14+AP26+AP28</f>
        <v>0</v>
      </c>
      <c r="AQ29" s="35">
        <f>AQ14+AQ26+AQ28</f>
        <v>0</v>
      </c>
      <c r="AR29" s="36">
        <f>AR14+AR26+AR28</f>
        <v>0</v>
      </c>
      <c r="AS29" s="34">
        <f>AS14+AS26+AS28</f>
        <v>0</v>
      </c>
      <c r="AT29" s="34">
        <f>AT14+AT26+AT28</f>
        <v>0</v>
      </c>
      <c r="AU29" s="33">
        <f>AU14+AU26+AU28</f>
        <v>0</v>
      </c>
      <c r="AV29" s="33">
        <f>AV14+AV26+AV28</f>
        <v>0</v>
      </c>
      <c r="AW29" s="35">
        <f>AW14+AW26+AW28</f>
        <v>0</v>
      </c>
      <c r="AX29" s="34">
        <f>AX14+AX26+AX28</f>
        <v>0</v>
      </c>
      <c r="AY29" s="34">
        <f>AY14+AY26+AY28</f>
        <v>0</v>
      </c>
    </row>
  </sheetData>
  <mergeCells count="37">
    <mergeCell ref="A1:A3"/>
    <mergeCell ref="B1:B3"/>
    <mergeCell ref="C1:F1"/>
    <mergeCell ref="G1:J1"/>
    <mergeCell ref="K1:N1"/>
    <mergeCell ref="O1:R1"/>
    <mergeCell ref="S1:U1"/>
    <mergeCell ref="V1:X1"/>
    <mergeCell ref="Y1:AB1"/>
    <mergeCell ref="AC1:AF1"/>
    <mergeCell ref="AG1:AJ1"/>
    <mergeCell ref="AK1:AN1"/>
    <mergeCell ref="AO1:AQ1"/>
    <mergeCell ref="AR1:AT1"/>
    <mergeCell ref="AU1:AX1"/>
    <mergeCell ref="AY1"/>
    <mergeCell ref="C2:D2"/>
    <mergeCell ref="E2:F2"/>
    <mergeCell ref="G2:H2"/>
    <mergeCell ref="I2:J2"/>
    <mergeCell ref="K2:L2"/>
    <mergeCell ref="M2:N2"/>
    <mergeCell ref="O2:P2"/>
    <mergeCell ref="Q2:R2"/>
    <mergeCell ref="T2:U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P2:AQ2"/>
    <mergeCell ref="AS2:AT2"/>
    <mergeCell ref="AU2:AV2"/>
  </mergeCells>
  <ignoredErrors>
    <ignoredError numberStoredAsText="1" sqref="A1:AY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Metas SV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